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autoCompressPictures="0"/>
  <mc:AlternateContent xmlns:mc="http://schemas.openxmlformats.org/markup-compatibility/2006">
    <mc:Choice Requires="x15">
      <x15ac:absPath xmlns:x15ac="http://schemas.microsoft.com/office/spreadsheetml/2010/11/ac" url="C:\Users\Arun\Downloads\"/>
    </mc:Choice>
  </mc:AlternateContent>
  <xr:revisionPtr revIDLastSave="0" documentId="13_ncr:1_{6AAA328B-8996-417B-ADB6-4A6DD2C33556}" xr6:coauthVersionLast="47" xr6:coauthVersionMax="47" xr10:uidLastSave="{00000000-0000-0000-0000-000000000000}"/>
  <bookViews>
    <workbookView xWindow="-108" yWindow="-108" windowWidth="23256" windowHeight="12576" activeTab="2" xr2:uid="{00000000-000D-0000-FFFF-FFFF00000000}"/>
  </bookViews>
  <sheets>
    <sheet name="Cover Page" sheetId="7" r:id="rId1"/>
    <sheet name="Instructions" sheetId="8" r:id="rId2"/>
    <sheet name="Backlog" sheetId="1" r:id="rId3"/>
    <sheet name="Charts" sheetId="9" r:id="rId4"/>
    <sheet name="Sheet1" sheetId="5" state="hidden" r:id="rId5"/>
  </sheets>
  <externalReferences>
    <externalReference r:id="rId6"/>
    <externalReference r:id="rId7"/>
    <externalReference r:id="rId8"/>
    <externalReference r:id="rId9"/>
  </externalReferences>
  <definedNames>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91028"/>
</workbook>
</file>

<file path=xl/calcChain.xml><?xml version="1.0" encoding="utf-8"?>
<calcChain xmlns="http://schemas.openxmlformats.org/spreadsheetml/2006/main">
  <c r="E7" i="9" l="1"/>
  <c r="D7" i="9"/>
  <c r="G7" i="9" s="1"/>
  <c r="G6" i="9"/>
  <c r="F6" i="9"/>
  <c r="E6" i="9"/>
  <c r="D8" i="9"/>
  <c r="E8" i="9"/>
  <c r="F7" i="9" l="1"/>
  <c r="F8" i="9"/>
  <c r="G8" i="9"/>
</calcChain>
</file>

<file path=xl/sharedStrings.xml><?xml version="1.0" encoding="utf-8"?>
<sst xmlns="http://schemas.openxmlformats.org/spreadsheetml/2006/main" count="108" uniqueCount="85">
  <si>
    <t>Product Backlog</t>
  </si>
  <si>
    <t>Prepared By / Last Updated By</t>
  </si>
  <si>
    <t>Reviewed By</t>
  </si>
  <si>
    <t>Approved By</t>
  </si>
  <si>
    <t>Name</t>
  </si>
  <si>
    <t>Role</t>
  </si>
  <si>
    <t>Signature</t>
  </si>
  <si>
    <t>Date</t>
  </si>
  <si>
    <t>Release ID: QTAD-PBL / 2.0.0 / 30-Mar-2015</t>
  </si>
  <si>
    <t>C3: Protected</t>
  </si>
  <si>
    <r>
      <t xml:space="preserve">Product Backlog                               Instructions
</t>
    </r>
    <r>
      <rPr>
        <sz val="9"/>
        <color indexed="23"/>
        <rFont val="Arial"/>
        <family val="2"/>
      </rPr>
      <t>C3: Protected          Controlled Copy</t>
    </r>
  </si>
  <si>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</si>
  <si>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</si>
  <si>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</si>
  <si>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</si>
  <si>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</si>
  <si>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</si>
  <si>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</si>
  <si>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</si>
  <si>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t xml:space="preserve">&lt; Provide who would be end User  of the User story&gt;. 
Details of who would use that functionality
Eg:End User
Admin
Teacher
</t>
    </r>
    <r>
      <rPr>
        <sz val="10"/>
        <color theme="4" tint="-0.249977111117893"/>
        <rFont val="Arial"/>
        <family val="2"/>
      </rPr>
      <t>Conference attendee</t>
    </r>
  </si>
  <si>
    <t>User Story Details</t>
  </si>
  <si>
    <r>
      <t xml:space="preserve">&lt;Provide description of  what the User want&gt;
Provide details on "As a/an" particular user what the user wants.
Eg: </t>
    </r>
    <r>
      <rPr>
        <sz val="10"/>
        <color theme="4" tint="-0.249977111117893"/>
        <rFont val="Arial"/>
        <family val="2"/>
      </rPr>
      <t>As a conference attendee, I want to be able to register online</t>
    </r>
  </si>
  <si>
    <t>Acceptance criteria</t>
  </si>
  <si>
    <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family val="2"/>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</si>
  <si>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</si>
  <si>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</si>
  <si>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</si>
  <si>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</si>
  <si>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</si>
  <si>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</si>
  <si>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</si>
  <si>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</si>
  <si>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</si>
  <si>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</si>
  <si>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</si>
  <si>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</si>
  <si>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</si>
  <si>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</si>
  <si>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</si>
  <si>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</si>
  <si>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</si>
  <si>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</si>
  <si>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</si>
  <si>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</si>
  <si>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</si>
  <si>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</si>
  <si>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</si>
  <si>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t>User Story Id</t>
  </si>
  <si>
    <t>Story Point</t>
  </si>
  <si>
    <t>Release Burndown</t>
  </si>
  <si>
    <t>Only edit shaded columns, others are calculated</t>
  </si>
  <si>
    <t>Story points</t>
  </si>
  <si>
    <t>Min</t>
  </si>
  <si>
    <t>Max</t>
  </si>
  <si>
    <t>Remaining</t>
  </si>
  <si>
    <t>Yes</t>
  </si>
  <si>
    <t>No</t>
  </si>
  <si>
    <t>Online Movie Ticket Booking System</t>
  </si>
  <si>
    <t xml:space="preserve">Arun R S </t>
  </si>
  <si>
    <t>User Registration</t>
  </si>
  <si>
    <t>Customer</t>
  </si>
  <si>
    <t>As a user, I should be able to register to this website.</t>
  </si>
  <si>
    <t xml:space="preserve">
1. Clicking on the “Sign Up Here” button should open the Registration form. 
2. User to fill the basic attributes:
-First Name
-Last Name
-Email
-Mobile Number
-Password
3. Clicking ‘Submit’ button should validate the datatype constraints for each field.
4. User failing to provide information for the mandatory fields be presented with an alert message 
–‘Please fill in this field’ Also, highlight the missed out field
5. After successfull validation the entered data are stored in the database.</t>
  </si>
  <si>
    <t>User Authentication</t>
  </si>
  <si>
    <t>User - Customer</t>
  </si>
  <si>
    <t>As a user, I should be able to log in.</t>
  </si>
  <si>
    <t>1. Clicking “Sign In” button should allow the user to enter the Email ID and Password.
2. Entered data are validated againts the databse
3. If the user credential is present he will be allowed to login otherwise it shows "Mail ID or password is incorrect".</t>
  </si>
  <si>
    <t>Official Registration</t>
  </si>
  <si>
    <t>Theatre Admin</t>
  </si>
  <si>
    <t xml:space="preserve">
1. Clicking on the “Sign Up Here” link send by the team should open the Theatre Admin Registration form. 
2. User to fill the basic attributes:
-Theatre Owner Name
-Theatre Name
-Theatre Location
-License ID
-Email 
-Mobile
-Passowrd
3. Clicking ‘Submit’ button should validate the datatype constraints for each field.
4. User failing to provide information for the mandatory fields be presented with an alert message 
–‘Please fill in this field’ Also, highlight the missed out field
5. After successfull validation the entered data are stored in the database.</t>
  </si>
  <si>
    <t>Official Autentication</t>
  </si>
  <si>
    <t>Admin</t>
  </si>
  <si>
    <t>Theatre Admin registration approval</t>
  </si>
  <si>
    <t>As Admin I should be able to view the registration request awaiting approval</t>
  </si>
  <si>
    <t>1-Admin should be able to view the registration request awaiting approval</t>
  </si>
  <si>
    <t>View Theatre Admin registration request</t>
  </si>
  <si>
    <t>as Admin I want to approve Theatre Admin registration</t>
  </si>
  <si>
    <t>1-Admin should be able to approve Theatre Admin registration
2-Theatre Admin Details has to be stored in databse and used for login</t>
  </si>
  <si>
    <t>Theatre Admin registration request</t>
  </si>
  <si>
    <t>As a Theatre Admin I want to request a registration link by contacting the admins</t>
  </si>
  <si>
    <t>1-The Admin can be contacted by clicking on the "Contact Us" link
2-In the Contact Us page there we be Admin's Mail Id
3-The request can be mailed to the Admin in detail</t>
  </si>
  <si>
    <t>Theatre Admin Authentication</t>
  </si>
  <si>
    <t>User - Theatre Admin</t>
  </si>
  <si>
    <t>As a Theatre Admin, I should be able to log in.</t>
  </si>
  <si>
    <r>
      <t xml:space="preserve">           Product Backlog                               Online Movie Ticket Booking System
 </t>
    </r>
    <r>
      <rPr>
        <sz val="9"/>
        <color indexed="23"/>
        <rFont val="Arial"/>
        <family val="2"/>
      </rPr>
      <t>Project ID: INTADM21DN020                                 C3: Protected          Controlled Copy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</si>
</sst>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32" x14ac:knownFonts="1">
    <font>
      <sz val="11"/>
      <color theme="1"/>
      <name val="Calibri"/>
      <family val="2"/>
      <scheme val="minor"/>
    </font>
    <font>
      <sz val="9"/>
      <color theme="1"/>
      <name val="Arial"/>
      <family val="2"/>
    </font>
    <font>
      <u/>
      <sz val="11"/>
      <color theme="10"/>
      <name val="Calibri"/>
      <family val="2"/>
      <scheme val="minor"/>
    </font>
    <font>
      <u/>
      <sz val="11"/>
      <color theme="11"/>
      <name val="Calibri"/>
      <family val="2"/>
      <scheme val="minor"/>
    </font>
    <font>
      <sz val="20"/>
      <color theme="1"/>
      <name val="Arial"/>
      <family val="2"/>
    </font>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name val="Arial"/>
    </font>
    <font>
      <sz val="10"/>
      <name val="Arial"/>
      <family val="2"/>
    </font>
    <font>
      <i/>
      <sz val="10"/>
      <name val="Arial"/>
      <family val="2"/>
    </font>
    <font>
      <b/>
      <sz val="10"/>
      <name val="Arial"/>
      <family val="2"/>
    </font>
    <font>
      <b/>
      <i/>
      <sz val="10"/>
      <name val="Arial"/>
      <family val="2"/>
    </font>
    <font>
      <sz val="9"/>
      <color indexed="23"/>
      <name val="Arial"/>
      <family val="2"/>
    </font>
    <font>
      <b/>
      <sz val="10"/>
      <color indexed="8"/>
      <name val="Arial"/>
      <family val="2"/>
    </font>
    <font>
      <u/>
      <sz val="11"/>
      <name val="Arial"/>
      <family val="2"/>
    </font>
    <font>
      <b/>
      <sz val="16"/>
      <color indexed="18"/>
      <name val="Arial"/>
      <family val="2"/>
    </font>
    <font>
      <sz val="14"/>
      <name val="Arial"/>
      <family val="2"/>
    </font>
    <font>
      <b/>
      <sz val="20"/>
      <color indexed="18"/>
      <name val="Arial"/>
      <family val="2"/>
    </font>
    <font>
      <b/>
      <sz val="14"/>
      <name val="Arial"/>
      <family val="2"/>
    </font>
    <font>
      <b/>
      <sz val="13"/>
      <color indexed="16"/>
      <name val="Arial"/>
      <family val="2"/>
    </font>
    <font>
      <b/>
      <sz val="10"/>
      <color indexed="16"/>
      <name val="Arial"/>
      <family val="2"/>
    </font>
    <font>
      <b/>
      <sz val="10"/>
      <color theme="0"/>
      <name val="Arial"/>
      <family val="2"/>
    </font>
    <font>
      <sz val="10"/>
      <color theme="0"/>
      <name val="Arial"/>
      <family val="2"/>
    </font>
    <font>
      <b/>
      <sz val="9"/>
      <color theme="1"/>
      <name val="Arial"/>
      <family val="2"/>
    </font>
    <font>
      <sz val="10"/>
      <color theme="4" tint="-0.249977111117893"/>
      <name val="Arial"/>
      <family val="2"/>
    </font>
    <font>
      <b/>
      <sz val="9"/>
      <color theme="0"/>
      <name val="Arial"/>
      <family val="2"/>
    </font>
    <font>
      <sz val="11"/>
      <color theme="1"/>
      <name val="Arial"/>
    </font>
    <font>
      <sz val="9"/>
      <color theme="1"/>
      <name val="Arial"/>
    </font>
    <font>
      <sz val="9"/>
      <color rgb="FF000000"/>
      <name val="Arial"/>
    </font>
    <font>
      <sz val="9"/>
      <color rgb="FF000000"/>
      <name val="Arial"/>
      <family val="2"/>
    </font>
  </fonts>
  <fills count="12">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rgb="FF92D050"/>
        <bgColor indexed="64"/>
      </patternFill>
    </fill>
    <fill>
      <patternFill patternType="solid">
        <fgColor theme="9" tint="-0.249977111117893"/>
        <bgColor indexed="64"/>
      </patternFill>
    </fill>
    <fill>
      <patternFill patternType="solid">
        <fgColor theme="4" tint="-0.249977111117893"/>
        <bgColor indexed="64"/>
      </patternFill>
    </fill>
  </fills>
  <borders count="27">
    <border>
      <left/>
      <right/>
      <top/>
      <bottom/>
      <diagonal/>
    </border>
    <border>
      <left/>
      <right/>
      <top/>
      <bottom style="medium">
        <color auto="1"/>
      </bottom>
      <diagonal/>
    </border>
    <border>
      <left/>
      <right style="thin">
        <color auto="1"/>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bottom style="thick">
        <color indexed="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14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9" fillId="0" borderId="0"/>
    <xf numFmtId="0" fontId="10" fillId="0" borderId="0"/>
    <xf numFmtId="0" fontId="28" fillId="0" borderId="0"/>
  </cellStyleXfs>
  <cellXfs count="128">
    <xf numFmtId="0" fontId="0" fillId="0" borderId="0" xfId="0"/>
    <xf numFmtId="0" fontId="9" fillId="2" borderId="0" xfId="143" applyFill="1"/>
    <xf numFmtId="0" fontId="9" fillId="2" borderId="0" xfId="143" applyFill="1" applyAlignment="1">
      <alignment horizontal="center"/>
    </xf>
    <xf numFmtId="0" fontId="10" fillId="2" borderId="0" xfId="143" applyFont="1" applyFill="1"/>
    <xf numFmtId="0" fontId="9" fillId="2" borderId="0" xfId="143" applyFill="1" applyBorder="1"/>
    <xf numFmtId="0" fontId="11" fillId="2" borderId="0" xfId="143" applyFont="1" applyFill="1"/>
    <xf numFmtId="0" fontId="12" fillId="2" borderId="0" xfId="143" applyFont="1" applyFill="1"/>
    <xf numFmtId="0" fontId="12" fillId="2" borderId="0" xfId="143" applyFont="1" applyFill="1" applyAlignment="1">
      <alignment vertical="top"/>
    </xf>
    <xf numFmtId="0" fontId="13" fillId="2" borderId="0" xfId="143" applyFont="1" applyFill="1" applyAlignment="1">
      <alignment vertical="top"/>
    </xf>
    <xf numFmtId="0" fontId="9" fillId="2" borderId="3" xfId="143" applyFill="1" applyBorder="1" applyAlignment="1">
      <alignment horizontal="center"/>
    </xf>
    <xf numFmtId="0" fontId="14" fillId="2" borderId="1" xfId="143" applyFont="1" applyFill="1" applyBorder="1"/>
    <xf numFmtId="0" fontId="9" fillId="2" borderId="1" xfId="143" applyFill="1" applyBorder="1"/>
    <xf numFmtId="0" fontId="12" fillId="2" borderId="1" xfId="143" applyFont="1" applyFill="1" applyBorder="1"/>
    <xf numFmtId="0" fontId="14" fillId="2" borderId="4" xfId="143" applyFont="1" applyFill="1" applyBorder="1"/>
    <xf numFmtId="0" fontId="9" fillId="2" borderId="6" xfId="143" applyFill="1" applyBorder="1"/>
    <xf numFmtId="0" fontId="11" fillId="2" borderId="0" xfId="143" applyFont="1" applyFill="1" applyAlignment="1">
      <alignment vertical="top"/>
    </xf>
    <xf numFmtId="0" fontId="11" fillId="2" borderId="5" xfId="143" applyFont="1" applyFill="1" applyBorder="1" applyAlignment="1">
      <alignment horizontal="center" vertical="top"/>
    </xf>
    <xf numFmtId="0" fontId="11" fillId="2" borderId="0" xfId="143" applyFont="1" applyFill="1" applyBorder="1" applyAlignment="1">
      <alignment vertical="top"/>
    </xf>
    <xf numFmtId="0" fontId="12" fillId="2" borderId="0" xfId="143" applyFont="1" applyFill="1" applyBorder="1"/>
    <xf numFmtId="0" fontId="12" fillId="2" borderId="6" xfId="143" applyFont="1" applyFill="1" applyBorder="1"/>
    <xf numFmtId="14" fontId="11" fillId="2" borderId="0" xfId="143" applyNumberFormat="1" applyFont="1" applyFill="1" applyBorder="1" applyAlignment="1">
      <alignment horizontal="left"/>
    </xf>
    <xf numFmtId="0" fontId="9" fillId="2" borderId="5" xfId="143" applyFill="1" applyBorder="1" applyAlignment="1">
      <alignment horizontal="center"/>
    </xf>
    <xf numFmtId="0" fontId="12" fillId="3" borderId="7" xfId="143" applyFont="1" applyFill="1" applyBorder="1" applyAlignment="1">
      <alignment horizontal="justify" vertical="center" wrapText="1"/>
    </xf>
    <xf numFmtId="49" fontId="15" fillId="3" borderId="7" xfId="143" applyNumberFormat="1" applyFont="1" applyFill="1" applyBorder="1" applyAlignment="1">
      <alignment horizontal="center" vertical="center" wrapText="1"/>
    </xf>
    <xf numFmtId="0" fontId="9" fillId="2" borderId="5" xfId="143" applyFill="1" applyBorder="1"/>
    <xf numFmtId="0" fontId="10" fillId="2" borderId="0" xfId="143" applyFont="1" applyFill="1" applyBorder="1"/>
    <xf numFmtId="0" fontId="9" fillId="0" borderId="0" xfId="143"/>
    <xf numFmtId="0" fontId="9" fillId="2" borderId="0" xfId="143" applyFill="1" applyBorder="1" applyAlignment="1">
      <alignment horizontal="center"/>
    </xf>
    <xf numFmtId="0" fontId="9" fillId="2" borderId="6" xfId="143" applyFill="1" applyBorder="1" applyAlignment="1">
      <alignment horizontal="center"/>
    </xf>
    <xf numFmtId="0" fontId="20" fillId="2" borderId="0" xfId="143" applyFont="1" applyFill="1" applyBorder="1"/>
    <xf numFmtId="0" fontId="20" fillId="2" borderId="6" xfId="143" applyFont="1" applyFill="1" applyBorder="1"/>
    <xf numFmtId="0" fontId="9" fillId="2" borderId="8" xfId="143" applyFill="1" applyBorder="1" applyAlignment="1">
      <alignment horizontal="center"/>
    </xf>
    <xf numFmtId="0" fontId="9" fillId="2" borderId="9" xfId="143" applyFill="1" applyBorder="1"/>
    <xf numFmtId="0" fontId="20" fillId="2" borderId="9" xfId="143" applyFont="1" applyFill="1" applyBorder="1"/>
    <xf numFmtId="0" fontId="20" fillId="2" borderId="10" xfId="143" applyFont="1" applyFill="1" applyBorder="1"/>
    <xf numFmtId="0" fontId="10" fillId="0" borderId="11" xfId="144" applyFont="1" applyFill="1" applyBorder="1" applyAlignment="1">
      <alignment horizontal="justify" vertical="center" wrapText="1"/>
    </xf>
    <xf numFmtId="0" fontId="10" fillId="4" borderId="11" xfId="144" applyFont="1" applyFill="1" applyBorder="1" applyAlignment="1">
      <alignment horizontal="justify" vertical="center" wrapText="1"/>
    </xf>
    <xf numFmtId="0" fontId="10" fillId="2" borderId="0" xfId="144" applyFont="1" applyFill="1"/>
    <xf numFmtId="0" fontId="10" fillId="2" borderId="0" xfId="144" applyFont="1" applyFill="1" applyAlignment="1">
      <alignment horizontal="center"/>
    </xf>
    <xf numFmtId="0" fontId="10" fillId="2" borderId="7" xfId="144" applyFont="1" applyFill="1" applyBorder="1"/>
    <xf numFmtId="0" fontId="10" fillId="2" borderId="0" xfId="144" applyFont="1" applyFill="1" applyBorder="1"/>
    <xf numFmtId="0" fontId="12" fillId="2" borderId="0" xfId="144" applyFont="1" applyFill="1" applyBorder="1"/>
    <xf numFmtId="0" fontId="12" fillId="2" borderId="0" xfId="144" applyFont="1" applyFill="1"/>
    <xf numFmtId="0" fontId="12" fillId="6" borderId="7" xfId="0" applyFont="1" applyFill="1" applyBorder="1" applyAlignment="1">
      <alignment vertical="center" wrapText="1"/>
    </xf>
    <xf numFmtId="0" fontId="12" fillId="6" borderId="7" xfId="144" applyFont="1" applyFill="1" applyBorder="1" applyAlignment="1">
      <alignment vertical="center"/>
    </xf>
    <xf numFmtId="0" fontId="12" fillId="6" borderId="7" xfId="144" applyFont="1" applyFill="1" applyBorder="1" applyAlignment="1">
      <alignment vertical="center" wrapText="1"/>
    </xf>
    <xf numFmtId="0" fontId="10" fillId="2" borderId="7" xfId="144" applyFont="1" applyFill="1" applyBorder="1" applyAlignment="1">
      <alignment vertical="top" wrapText="1"/>
    </xf>
    <xf numFmtId="0" fontId="10" fillId="4" borderId="7" xfId="144" applyFont="1" applyFill="1" applyBorder="1" applyAlignment="1">
      <alignment vertical="top" wrapText="1"/>
    </xf>
    <xf numFmtId="0" fontId="10" fillId="4" borderId="7" xfId="144" applyFont="1" applyFill="1" applyBorder="1" applyAlignment="1">
      <alignment horizontal="left" vertical="top" wrapText="1"/>
    </xf>
    <xf numFmtId="0" fontId="10" fillId="2" borderId="7" xfId="143" applyFont="1" applyFill="1" applyBorder="1" applyAlignment="1" applyProtection="1">
      <alignment horizontal="center" vertical="center" wrapText="1"/>
      <protection locked="0"/>
    </xf>
    <xf numFmtId="0" fontId="10" fillId="2" borderId="7" xfId="143" applyFont="1" applyFill="1" applyBorder="1" applyAlignment="1" applyProtection="1">
      <alignment horizontal="justify" vertical="center" wrapText="1"/>
      <protection locked="0"/>
    </xf>
    <xf numFmtId="164" fontId="10" fillId="2" borderId="7" xfId="143" applyNumberFormat="1" applyFont="1" applyFill="1" applyBorder="1" applyAlignment="1" applyProtection="1">
      <alignment horizontal="justify" vertical="center" wrapText="1"/>
      <protection locked="0"/>
    </xf>
    <xf numFmtId="0" fontId="4" fillId="0" borderId="0" xfId="0" applyFont="1" applyProtection="1"/>
    <xf numFmtId="0" fontId="5" fillId="0" borderId="0" xfId="0" applyFont="1" applyProtection="1"/>
    <xf numFmtId="0" fontId="7" fillId="0" borderId="0" xfId="0" applyFont="1" applyProtection="1"/>
    <xf numFmtId="0" fontId="5" fillId="0" borderId="0" xfId="0" applyFont="1" applyBorder="1" applyProtection="1"/>
    <xf numFmtId="0" fontId="5" fillId="0" borderId="2" xfId="0" applyFont="1" applyBorder="1" applyProtection="1"/>
    <xf numFmtId="0" fontId="5" fillId="7" borderId="0" xfId="0" applyFont="1" applyFill="1" applyProtection="1">
      <protection locked="0"/>
    </xf>
    <xf numFmtId="0" fontId="5" fillId="7" borderId="0" xfId="0" applyFont="1" applyFill="1" applyBorder="1" applyProtection="1">
      <protection locked="0"/>
    </xf>
    <xf numFmtId="0" fontId="10" fillId="0" borderId="0" xfId="144" applyFont="1" applyFill="1" applyBorder="1" applyAlignment="1" applyProtection="1">
      <alignment horizontal="justify" vertical="center" wrapText="1"/>
      <protection locked="0"/>
    </xf>
    <xf numFmtId="0" fontId="6" fillId="0" borderId="1" xfId="0" applyFont="1" applyBorder="1" applyProtection="1"/>
    <xf numFmtId="0" fontId="10" fillId="2" borderId="7" xfId="144" applyFont="1" applyFill="1" applyBorder="1" applyAlignment="1">
      <alignment horizontal="left" vertical="top" wrapText="1"/>
    </xf>
    <xf numFmtId="0" fontId="1" fillId="0" borderId="7" xfId="0" applyFont="1" applyBorder="1" applyAlignment="1" applyProtection="1">
      <alignment vertical="top" wrapText="1"/>
      <protection locked="0"/>
    </xf>
    <xf numFmtId="0" fontId="1" fillId="0" borderId="0" xfId="0" applyFont="1" applyBorder="1" applyAlignment="1" applyProtection="1">
      <alignment horizontal="center" vertical="center" wrapText="1"/>
    </xf>
    <xf numFmtId="0" fontId="1" fillId="0" borderId="0" xfId="0" applyFont="1" applyBorder="1" applyAlignment="1" applyProtection="1">
      <alignment vertical="top" wrapText="1"/>
      <protection locked="0"/>
    </xf>
    <xf numFmtId="0" fontId="1" fillId="0" borderId="0" xfId="0" applyFont="1" applyFill="1" applyBorder="1" applyAlignment="1" applyProtection="1">
      <alignment horizontal="center" vertical="center" wrapText="1"/>
    </xf>
    <xf numFmtId="0" fontId="1" fillId="0" borderId="0" xfId="0" applyFont="1" applyFill="1" applyBorder="1" applyAlignment="1" applyProtection="1">
      <alignment vertical="top" wrapText="1"/>
      <protection locked="0"/>
    </xf>
    <xf numFmtId="0" fontId="1" fillId="9" borderId="7" xfId="0" applyFont="1" applyFill="1" applyBorder="1" applyAlignment="1" applyProtection="1">
      <alignment vertical="top" wrapText="1"/>
      <protection locked="0"/>
    </xf>
    <xf numFmtId="0" fontId="1" fillId="9" borderId="19" xfId="0" applyFont="1" applyFill="1" applyBorder="1" applyAlignment="1" applyProtection="1">
      <alignment vertical="top" wrapText="1"/>
      <protection locked="0"/>
    </xf>
    <xf numFmtId="0" fontId="1" fillId="9" borderId="7" xfId="0" applyFont="1" applyFill="1" applyBorder="1" applyAlignment="1" applyProtection="1">
      <alignment vertical="top"/>
      <protection locked="0"/>
    </xf>
    <xf numFmtId="0" fontId="1" fillId="0" borderId="12" xfId="0" applyFont="1" applyBorder="1" applyAlignment="1" applyProtection="1">
      <alignment vertical="top" wrapText="1"/>
      <protection locked="0"/>
    </xf>
    <xf numFmtId="0" fontId="1" fillId="9" borderId="12" xfId="0" applyFont="1" applyFill="1" applyBorder="1" applyAlignment="1" applyProtection="1">
      <alignment vertical="top" wrapText="1"/>
      <protection locked="0"/>
    </xf>
    <xf numFmtId="0" fontId="1" fillId="9" borderId="12" xfId="0" applyFont="1" applyFill="1" applyBorder="1" applyAlignment="1" applyProtection="1">
      <alignment vertical="top"/>
      <protection locked="0"/>
    </xf>
    <xf numFmtId="0" fontId="1" fillId="9" borderId="17" xfId="0" applyFont="1" applyFill="1" applyBorder="1" applyAlignment="1" applyProtection="1">
      <alignment vertical="top" wrapText="1"/>
      <protection locked="0"/>
    </xf>
    <xf numFmtId="0" fontId="23" fillId="5" borderId="23" xfId="0" applyFont="1" applyFill="1" applyBorder="1" applyAlignment="1" applyProtection="1">
      <alignment horizontal="center" vertical="center" wrapText="1"/>
    </xf>
    <xf numFmtId="0" fontId="23" fillId="5" borderId="24" xfId="0" applyFont="1" applyFill="1" applyBorder="1" applyAlignment="1" applyProtection="1">
      <alignment horizontal="center" vertical="center" wrapText="1"/>
    </xf>
    <xf numFmtId="0" fontId="23" fillId="10" borderId="24" xfId="0" applyFont="1" applyFill="1" applyBorder="1" applyAlignment="1" applyProtection="1">
      <alignment horizontal="center" vertical="center" wrapText="1"/>
    </xf>
    <xf numFmtId="0" fontId="6" fillId="9" borderId="24" xfId="0" applyFont="1" applyFill="1" applyBorder="1" applyAlignment="1" applyProtection="1">
      <alignment horizontal="center" vertical="center" wrapText="1"/>
    </xf>
    <xf numFmtId="0" fontId="6" fillId="9" borderId="25" xfId="0" applyFont="1" applyFill="1" applyBorder="1" applyAlignment="1" applyProtection="1">
      <alignment horizontal="center" vertical="center" wrapText="1"/>
    </xf>
    <xf numFmtId="0" fontId="17" fillId="2" borderId="6" xfId="143" applyFont="1" applyFill="1" applyBorder="1" applyAlignment="1">
      <alignment horizontal="center" vertical="center" wrapText="1"/>
    </xf>
    <xf numFmtId="0" fontId="17" fillId="2" borderId="0" xfId="143" applyFont="1" applyFill="1" applyBorder="1" applyAlignment="1">
      <alignment horizontal="center" vertical="center" wrapText="1"/>
    </xf>
    <xf numFmtId="0" fontId="17" fillId="2" borderId="5" xfId="143" applyFont="1" applyFill="1" applyBorder="1" applyAlignment="1">
      <alignment horizontal="center" vertical="center" wrapText="1"/>
    </xf>
    <xf numFmtId="0" fontId="16" fillId="2" borderId="6" xfId="143" applyFont="1" applyFill="1" applyBorder="1" applyAlignment="1">
      <alignment horizontal="left"/>
    </xf>
    <xf numFmtId="0" fontId="9" fillId="2" borderId="0" xfId="143" applyFill="1" applyBorder="1" applyAlignment="1">
      <alignment horizontal="left"/>
    </xf>
    <xf numFmtId="0" fontId="9" fillId="2" borderId="5" xfId="143" applyFill="1" applyBorder="1" applyAlignment="1">
      <alignment horizontal="left"/>
    </xf>
    <xf numFmtId="0" fontId="19" fillId="2" borderId="6" xfId="143" applyFont="1" applyFill="1" applyBorder="1" applyAlignment="1">
      <alignment horizontal="center" vertical="center" wrapText="1"/>
    </xf>
    <xf numFmtId="0" fontId="19" fillId="2" borderId="0" xfId="143" applyFont="1" applyFill="1" applyBorder="1" applyAlignment="1">
      <alignment horizontal="center" vertical="center" wrapText="1"/>
    </xf>
    <xf numFmtId="0" fontId="19" fillId="2" borderId="5" xfId="143" applyFont="1" applyFill="1" applyBorder="1" applyAlignment="1">
      <alignment horizontal="center" vertical="center" wrapText="1"/>
    </xf>
    <xf numFmtId="0" fontId="18" fillId="2" borderId="6" xfId="143" applyFont="1" applyFill="1" applyBorder="1" applyAlignment="1">
      <alignment horizontal="center" vertical="center" wrapText="1"/>
    </xf>
    <xf numFmtId="0" fontId="18" fillId="2" borderId="0" xfId="143" applyFont="1" applyFill="1" applyBorder="1" applyAlignment="1">
      <alignment horizontal="center" vertical="center" wrapText="1"/>
    </xf>
    <xf numFmtId="0" fontId="18" fillId="2" borderId="5" xfId="143" applyFont="1" applyFill="1" applyBorder="1" applyAlignment="1">
      <alignment horizontal="center" vertical="center" wrapText="1"/>
    </xf>
    <xf numFmtId="0" fontId="19" fillId="2" borderId="6" xfId="143" applyFont="1" applyFill="1" applyBorder="1" applyAlignment="1" applyProtection="1">
      <alignment horizontal="center" vertical="center" wrapText="1"/>
      <protection locked="0"/>
    </xf>
    <xf numFmtId="0" fontId="19" fillId="2" borderId="0" xfId="143" applyFont="1" applyFill="1" applyBorder="1" applyAlignment="1" applyProtection="1">
      <alignment horizontal="center" vertical="center" wrapText="1"/>
      <protection locked="0"/>
    </xf>
    <xf numFmtId="0" fontId="19" fillId="2" borderId="5" xfId="143" applyFont="1" applyFill="1" applyBorder="1" applyAlignment="1" applyProtection="1">
      <alignment horizontal="center" vertical="center" wrapText="1"/>
      <protection locked="0"/>
    </xf>
    <xf numFmtId="0" fontId="23" fillId="5" borderId="7" xfId="144" applyFont="1" applyFill="1" applyBorder="1" applyAlignment="1">
      <alignment horizontal="center" vertical="center" wrapText="1"/>
    </xf>
    <xf numFmtId="0" fontId="24" fillId="5" borderId="7" xfId="144" applyFont="1" applyFill="1" applyBorder="1" applyAlignment="1">
      <alignment horizontal="center" vertical="center"/>
    </xf>
    <xf numFmtId="0" fontId="21" fillId="0" borderId="11" xfId="144" applyFont="1" applyFill="1" applyBorder="1" applyAlignment="1">
      <alignment vertical="center" wrapText="1"/>
    </xf>
    <xf numFmtId="0" fontId="22" fillId="0" borderId="11" xfId="144" applyFont="1" applyFill="1" applyBorder="1" applyAlignment="1">
      <alignment vertical="center" wrapText="1"/>
    </xf>
    <xf numFmtId="0" fontId="10" fillId="2" borderId="7" xfId="144" applyFont="1" applyFill="1" applyBorder="1" applyAlignment="1">
      <alignment horizontal="left" vertical="top" wrapText="1"/>
    </xf>
    <xf numFmtId="0" fontId="10" fillId="0" borderId="7" xfId="144" applyFont="1" applyBorder="1" applyAlignment="1">
      <alignment horizontal="left" vertical="top" wrapText="1"/>
    </xf>
    <xf numFmtId="0" fontId="27" fillId="8" borderId="21" xfId="0" applyFont="1" applyFill="1" applyBorder="1" applyAlignment="1" applyProtection="1">
      <alignment horizontal="center" vertical="center" wrapText="1"/>
      <protection locked="0"/>
    </xf>
    <xf numFmtId="0" fontId="27" fillId="8" borderId="22" xfId="0" applyFont="1" applyFill="1" applyBorder="1" applyAlignment="1" applyProtection="1">
      <alignment horizontal="center" vertical="center" wrapText="1"/>
      <protection locked="0"/>
    </xf>
    <xf numFmtId="0" fontId="25" fillId="11" borderId="20" xfId="0" applyFont="1" applyFill="1" applyBorder="1" applyAlignment="1" applyProtection="1">
      <alignment horizontal="center" vertical="top" wrapText="1"/>
      <protection locked="0"/>
    </xf>
    <xf numFmtId="0" fontId="25" fillId="11" borderId="21" xfId="0" applyFont="1" applyFill="1" applyBorder="1" applyAlignment="1" applyProtection="1">
      <alignment horizontal="center" vertical="top" wrapText="1"/>
      <protection locked="0"/>
    </xf>
    <xf numFmtId="0" fontId="21" fillId="0" borderId="13" xfId="144" applyFont="1" applyFill="1" applyBorder="1" applyAlignment="1" applyProtection="1">
      <alignment horizontal="center" vertical="center" wrapText="1"/>
      <protection locked="0"/>
    </xf>
    <xf numFmtId="0" fontId="21" fillId="0" borderId="14" xfId="144" applyFont="1" applyFill="1" applyBorder="1" applyAlignment="1" applyProtection="1">
      <alignment horizontal="center" vertical="center" wrapText="1"/>
      <protection locked="0"/>
    </xf>
    <xf numFmtId="0" fontId="21" fillId="0" borderId="15" xfId="144" applyFont="1" applyFill="1" applyBorder="1" applyAlignment="1" applyProtection="1">
      <alignment horizontal="center" vertical="center" wrapText="1"/>
      <protection locked="0"/>
    </xf>
    <xf numFmtId="0" fontId="8" fillId="0" borderId="0" xfId="0" applyFont="1" applyBorder="1" applyAlignment="1" applyProtection="1"/>
    <xf numFmtId="0" fontId="8" fillId="0" borderId="1" xfId="0" applyFont="1" applyBorder="1" applyAlignment="1" applyProtection="1"/>
    <xf numFmtId="0" fontId="5" fillId="7" borderId="0" xfId="0" applyFont="1" applyFill="1" applyAlignment="1" applyProtection="1"/>
    <xf numFmtId="0" fontId="6" fillId="0" borderId="0" xfId="0" applyFont="1" applyBorder="1" applyAlignment="1" applyProtection="1"/>
    <xf numFmtId="0" fontId="6" fillId="0" borderId="1" xfId="0" applyFont="1" applyBorder="1" applyAlignment="1" applyProtection="1"/>
    <xf numFmtId="0" fontId="6" fillId="0" borderId="0" xfId="0" applyFont="1" applyAlignment="1" applyProtection="1"/>
    <xf numFmtId="0" fontId="6" fillId="0" borderId="0" xfId="0" applyFont="1" applyBorder="1" applyAlignment="1" applyProtection="1">
      <alignment wrapText="1"/>
    </xf>
    <xf numFmtId="0" fontId="6" fillId="0" borderId="1" xfId="0" applyFont="1" applyBorder="1" applyAlignment="1" applyProtection="1">
      <alignment wrapText="1"/>
    </xf>
    <xf numFmtId="0" fontId="1" fillId="0" borderId="16" xfId="0" applyFont="1" applyBorder="1" applyAlignment="1" applyProtection="1">
      <alignment horizontal="center" vertical="top" wrapText="1"/>
      <protection locked="0"/>
    </xf>
    <xf numFmtId="0" fontId="1" fillId="0" borderId="18" xfId="0" applyFont="1" applyBorder="1" applyAlignment="1" applyProtection="1">
      <alignment horizontal="center" vertical="top" wrapText="1"/>
      <protection locked="0"/>
    </xf>
    <xf numFmtId="0" fontId="1" fillId="0" borderId="18" xfId="0" applyFont="1" applyBorder="1" applyAlignment="1" applyProtection="1">
      <alignment horizontal="center" vertical="top"/>
      <protection locked="0"/>
    </xf>
    <xf numFmtId="0" fontId="30" fillId="0" borderId="26" xfId="145" applyFont="1" applyBorder="1" applyAlignment="1">
      <alignment horizontal="left" vertical="top" wrapText="1"/>
    </xf>
    <xf numFmtId="0" fontId="29" fillId="0" borderId="26" xfId="145" applyFont="1" applyBorder="1" applyAlignment="1">
      <alignment vertical="top" wrapText="1"/>
    </xf>
    <xf numFmtId="0" fontId="29" fillId="0" borderId="26" xfId="145" applyFont="1" applyBorder="1" applyAlignment="1">
      <alignment vertical="top" wrapText="1"/>
    </xf>
    <xf numFmtId="0" fontId="30" fillId="0" borderId="26" xfId="145" applyFont="1" applyBorder="1" applyAlignment="1">
      <alignment horizontal="left" vertical="top" wrapText="1"/>
    </xf>
    <xf numFmtId="0" fontId="30" fillId="0" borderId="26" xfId="145" applyFont="1" applyBorder="1" applyAlignment="1">
      <alignment vertical="top" wrapText="1"/>
    </xf>
    <xf numFmtId="0" fontId="30" fillId="0" borderId="26" xfId="0" applyFont="1" applyBorder="1" applyAlignment="1">
      <alignment horizontal="left" vertical="top" wrapText="1"/>
    </xf>
    <xf numFmtId="0" fontId="30" fillId="0" borderId="26" xfId="0" applyFont="1" applyBorder="1" applyAlignment="1">
      <alignment vertical="top" wrapText="1"/>
    </xf>
    <xf numFmtId="0" fontId="29" fillId="0" borderId="26" xfId="0" applyFont="1" applyBorder="1" applyAlignment="1">
      <alignment vertical="top" wrapText="1"/>
    </xf>
    <xf numFmtId="0" fontId="31" fillId="0" borderId="26" xfId="145" applyFont="1" applyBorder="1" applyAlignment="1">
      <alignment horizontal="left" vertical="top" wrapText="1"/>
    </xf>
    <xf numFmtId="0" fontId="31" fillId="0" borderId="26" xfId="145" applyFont="1" applyBorder="1" applyAlignment="1">
      <alignment vertical="top" wrapText="1"/>
    </xf>
  </cellXfs>
  <cellStyles count="146">
    <cellStyle name="Followed Hyperlink" xfId="32" builtinId="9" hidden="1"/>
    <cellStyle name="Followed Hyperlink" xfId="66" builtinId="9" hidden="1"/>
    <cellStyle name="Followed Hyperlink" xfId="82" builtinId="9" hidden="1"/>
    <cellStyle name="Followed Hyperlink" xfId="112" builtinId="9" hidden="1"/>
    <cellStyle name="Followed Hyperlink" xfId="120" builtinId="9" hidden="1"/>
    <cellStyle name="Followed Hyperlink" xfId="132" builtinId="9" hidden="1"/>
    <cellStyle name="Followed Hyperlink" xfId="142" builtinId="9" hidden="1"/>
    <cellStyle name="Followed Hyperlink" xfId="134" builtinId="9" hidden="1"/>
    <cellStyle name="Followed Hyperlink" xfId="122" builtinId="9" hidden="1"/>
    <cellStyle name="Followed Hyperlink" xfId="110" builtinId="9" hidden="1"/>
    <cellStyle name="Followed Hyperlink" xfId="102" builtinId="9" hidden="1"/>
    <cellStyle name="Followed Hyperlink" xfId="98" builtinId="9" hidden="1"/>
    <cellStyle name="Followed Hyperlink" xfId="130" builtinId="9" hidden="1"/>
    <cellStyle name="Followed Hyperlink" xfId="124" builtinId="9" hidden="1"/>
    <cellStyle name="Followed Hyperlink" xfId="84" builtinId="9" hidden="1"/>
    <cellStyle name="Followed Hyperlink" xfId="96" builtinId="9" hidden="1"/>
    <cellStyle name="Followed Hyperlink" xfId="104" builtinId="9" hidden="1"/>
    <cellStyle name="Followed Hyperlink" xfId="76" builtinId="9" hidden="1"/>
    <cellStyle name="Followed Hyperlink" xfId="72" builtinId="9" hidden="1"/>
    <cellStyle name="Followed Hyperlink" xfId="68" builtinId="9" hidden="1"/>
    <cellStyle name="Followed Hyperlink" xfId="80" builtinId="9" hidden="1"/>
    <cellStyle name="Followed Hyperlink" xfId="92" builtinId="9" hidden="1"/>
    <cellStyle name="Followed Hyperlink" xfId="100" builtinId="9" hidden="1"/>
    <cellStyle name="Followed Hyperlink" xfId="88" builtinId="9" hidden="1"/>
    <cellStyle name="Followed Hyperlink" xfId="108" builtinId="9" hidden="1"/>
    <cellStyle name="Followed Hyperlink" xfId="140" builtinId="9" hidden="1"/>
    <cellStyle name="Followed Hyperlink" xfId="114" builtinId="9" hidden="1"/>
    <cellStyle name="Followed Hyperlink" xfId="94" builtinId="9" hidden="1"/>
    <cellStyle name="Followed Hyperlink" xfId="106" builtinId="9" hidden="1"/>
    <cellStyle name="Followed Hyperlink" xfId="118" builtinId="9" hidden="1"/>
    <cellStyle name="Followed Hyperlink" xfId="126" builtinId="9" hidden="1"/>
    <cellStyle name="Followed Hyperlink" xfId="138" builtinId="9" hidden="1"/>
    <cellStyle name="Followed Hyperlink" xfId="136" builtinId="9" hidden="1"/>
    <cellStyle name="Followed Hyperlink" xfId="128" builtinId="9" hidden="1"/>
    <cellStyle name="Followed Hyperlink" xfId="116" builtinId="9" hidden="1"/>
    <cellStyle name="Followed Hyperlink" xfId="90" builtinId="9" hidden="1"/>
    <cellStyle name="Followed Hyperlink" xfId="74" builtinId="9" hidden="1"/>
    <cellStyle name="Followed Hyperlink" xfId="26" builtinId="9" hidden="1"/>
    <cellStyle name="Followed Hyperlink" xfId="36" builtinId="9" hidden="1"/>
    <cellStyle name="Followed Hyperlink" xfId="62" builtinId="9" hidden="1"/>
    <cellStyle name="Followed Hyperlink" xfId="46" builtinId="9" hidden="1"/>
    <cellStyle name="Followed Hyperlink" xfId="30" builtinId="9" hidden="1"/>
    <cellStyle name="Followed Hyperlink" xfId="16" builtinId="9" hidden="1"/>
    <cellStyle name="Followed Hyperlink" xfId="20" builtinId="9" hidden="1"/>
    <cellStyle name="Followed Hyperlink" xfId="6" builtinId="9" hidden="1"/>
    <cellStyle name="Followed Hyperlink" xfId="2" builtinId="9" hidden="1"/>
    <cellStyle name="Followed Hyperlink" xfId="8" builtinId="9" hidden="1"/>
    <cellStyle name="Followed Hyperlink" xfId="14" builtinId="9" hidden="1"/>
    <cellStyle name="Followed Hyperlink" xfId="12" builtinId="9" hidden="1"/>
    <cellStyle name="Followed Hyperlink" xfId="22" builtinId="9" hidden="1"/>
    <cellStyle name="Followed Hyperlink" xfId="38" builtinId="9" hidden="1"/>
    <cellStyle name="Followed Hyperlink" xfId="64" builtinId="9" hidden="1"/>
    <cellStyle name="Followed Hyperlink" xfId="58" builtinId="9" hidden="1"/>
    <cellStyle name="Followed Hyperlink" xfId="52" builtinId="9" hidden="1"/>
    <cellStyle name="Followed Hyperlink" xfId="42" builtinId="9" hidden="1"/>
    <cellStyle name="Followed Hyperlink" xfId="48" builtinId="9" hidden="1"/>
    <cellStyle name="Followed Hyperlink" xfId="54" builtinId="9" hidden="1"/>
    <cellStyle name="Followed Hyperlink" xfId="18" builtinId="9" hidden="1"/>
    <cellStyle name="Followed Hyperlink" xfId="4" builtinId="9" hidden="1"/>
    <cellStyle name="Followed Hyperlink" xfId="10" builtinId="9" hidden="1"/>
    <cellStyle name="Followed Hyperlink" xfId="60" builtinId="9" hidden="1"/>
    <cellStyle name="Followed Hyperlink" xfId="28" builtinId="9" hidden="1"/>
    <cellStyle name="Followed Hyperlink" xfId="34" builtinId="9" hidden="1"/>
    <cellStyle name="Followed Hyperlink" xfId="44" builtinId="9" hidden="1"/>
    <cellStyle name="Followed Hyperlink" xfId="50" builtinId="9" hidden="1"/>
    <cellStyle name="Followed Hyperlink" xfId="56" builtinId="9" hidden="1"/>
    <cellStyle name="Followed Hyperlink" xfId="40" builtinId="9" hidden="1"/>
    <cellStyle name="Followed Hyperlink" xfId="70" builtinId="9" hidden="1"/>
    <cellStyle name="Followed Hyperlink" xfId="24" builtinId="9" hidden="1"/>
    <cellStyle name="Followed Hyperlink" xfId="78" builtinId="9" hidden="1"/>
    <cellStyle name="Followed Hyperlink" xfId="86" builtinId="9" hidden="1"/>
    <cellStyle name="Hyperlink" xfId="117" builtinId="8" hidden="1"/>
    <cellStyle name="Hyperlink" xfId="125" builtinId="8" hidden="1"/>
    <cellStyle name="Hyperlink" xfId="127" builtinId="8" hidden="1"/>
    <cellStyle name="Hyperlink" xfId="129" builtinId="8" hidden="1"/>
    <cellStyle name="Hyperlink" xfId="135" builtinId="8" hidden="1"/>
    <cellStyle name="Hyperlink" xfId="137" builtinId="8" hidden="1"/>
    <cellStyle name="Hyperlink" xfId="139" builtinId="8" hidden="1"/>
    <cellStyle name="Hyperlink" xfId="123" builtinId="8" hidden="1"/>
    <cellStyle name="Hyperlink" xfId="115" builtinId="8" hidden="1"/>
    <cellStyle name="Hyperlink" xfId="107" builtinId="8" hidden="1"/>
    <cellStyle name="Hyperlink" xfId="91" builtinId="8" hidden="1"/>
    <cellStyle name="Hyperlink" xfId="75" builtinId="8" hidden="1"/>
    <cellStyle name="Hyperlink" xfId="31" builtinId="8" hidden="1"/>
    <cellStyle name="Hyperlink" xfId="141" builtinId="8" hidden="1"/>
    <cellStyle name="Hyperlink" xfId="119" builtinId="8" hidden="1"/>
    <cellStyle name="Hyperlink" xfId="93" builtinId="8" hidden="1"/>
    <cellStyle name="Hyperlink" xfId="97" builtinId="8" hidden="1"/>
    <cellStyle name="Hyperlink" xfId="101" builtinId="8" hidden="1"/>
    <cellStyle name="Hyperlink" xfId="103" builtinId="8" hidden="1"/>
    <cellStyle name="Hyperlink" xfId="109" builtinId="8" hidden="1"/>
    <cellStyle name="Hyperlink" xfId="111" builtinId="8" hidden="1"/>
    <cellStyle name="Hyperlink" xfId="81" builtinId="8" hidden="1"/>
    <cellStyle name="Hyperlink" xfId="87" builtinId="8" hidden="1"/>
    <cellStyle name="Hyperlink" xfId="89" builtinId="8" hidden="1"/>
    <cellStyle name="Hyperlink" xfId="77" builtinId="8" hidden="1"/>
    <cellStyle name="Hyperlink" xfId="73" builtinId="8" hidden="1"/>
    <cellStyle name="Hyperlink" xfId="79" builtinId="8" hidden="1"/>
    <cellStyle name="Hyperlink" xfId="85" builtinId="8" hidden="1"/>
    <cellStyle name="Hyperlink" xfId="105" builtinId="8" hidden="1"/>
    <cellStyle name="Hyperlink" xfId="95" builtinId="8" hidden="1"/>
    <cellStyle name="Hyperlink" xfId="83" builtinId="8" hidden="1"/>
    <cellStyle name="Hyperlink" xfId="99" builtinId="8" hidden="1"/>
    <cellStyle name="Hyperlink" xfId="131" builtinId="8" hidden="1"/>
    <cellStyle name="Hyperlink" xfId="133" builtinId="8" hidden="1"/>
    <cellStyle name="Hyperlink" xfId="121" builtinId="8" hidden="1"/>
    <cellStyle name="Hyperlink" xfId="15" builtinId="8" hidden="1"/>
    <cellStyle name="Hyperlink" xfId="19" builtinId="8" hidden="1"/>
    <cellStyle name="Hyperlink" xfId="23" builtinId="8" hidden="1"/>
    <cellStyle name="Hyperlink" xfId="27" builtinId="8" hidden="1"/>
    <cellStyle name="Hyperlink" xfId="29" builtinId="8" hidden="1"/>
    <cellStyle name="Hyperlink" xfId="7" builtinId="8" hidden="1"/>
    <cellStyle name="Hyperlink" xfId="11" builtinId="8" hidden="1"/>
    <cellStyle name="Hyperlink" xfId="13" builtinId="8" hidden="1"/>
    <cellStyle name="Hyperlink" xfId="3" builtinId="8" hidden="1"/>
    <cellStyle name="Hyperlink" xfId="5" builtinId="8" hidden="1"/>
    <cellStyle name="Hyperlink" xfId="9" builtinId="8" hidden="1"/>
    <cellStyle name="Hyperlink" xfId="25" builtinId="8" hidden="1"/>
    <cellStyle name="Hyperlink" xfId="17" builtinId="8" hidden="1"/>
    <cellStyle name="Hyperlink" xfId="67" builtinId="8" hidden="1"/>
    <cellStyle name="Hyperlink" xfId="63" builtinId="8" hidden="1"/>
    <cellStyle name="Hyperlink" xfId="55" builtinId="8" hidden="1"/>
    <cellStyle name="Hyperlink" xfId="37" builtinId="8" hidden="1"/>
    <cellStyle name="Hyperlink" xfId="113" builtinId="8" hidden="1"/>
    <cellStyle name="Hyperlink" xfId="45" builtinId="8" hidden="1"/>
    <cellStyle name="Hyperlink" xfId="1" builtinId="8" hidden="1"/>
    <cellStyle name="Hyperlink" xfId="21" builtinId="8" hidden="1"/>
    <cellStyle name="Hyperlink" xfId="57" builtinId="8" hidden="1"/>
    <cellStyle name="Hyperlink" xfId="59" builtinId="8" hidden="1"/>
    <cellStyle name="Hyperlink" xfId="61" builtinId="8" hidden="1"/>
    <cellStyle name="Hyperlink" xfId="65" builtinId="8" hidden="1"/>
    <cellStyle name="Hyperlink" xfId="69" builtinId="8" hidden="1"/>
    <cellStyle name="Hyperlink" xfId="71" builtinId="8" hidden="1"/>
    <cellStyle name="Hyperlink" xfId="51" builtinId="8" hidden="1"/>
    <cellStyle name="Hyperlink" xfId="35" builtinId="8" hidden="1"/>
    <cellStyle name="Hyperlink" xfId="43" builtinId="8" hidden="1"/>
    <cellStyle name="Hyperlink" xfId="47" builtinId="8" hidden="1"/>
    <cellStyle name="Hyperlink" xfId="49" builtinId="8" hidden="1"/>
    <cellStyle name="Hyperlink" xfId="53" builtinId="8" hidden="1"/>
    <cellStyle name="Hyperlink" xfId="39" builtinId="8" hidden="1"/>
    <cellStyle name="Hyperlink" xfId="41" builtinId="8" hidden="1"/>
    <cellStyle name="Hyperlink" xfId="33" builtinId="8" hidden="1"/>
    <cellStyle name="Normal" xfId="0" builtinId="0"/>
    <cellStyle name="Normal 2" xfId="143" xr:uid="{00000000-0005-0000-0000-00008F000000}"/>
    <cellStyle name="Normal 2 2" xfId="144" xr:uid="{00000000-0005-0000-0000-000090000000}"/>
    <cellStyle name="Normal 3" xfId="145" xr:uid="{6B6F4458-C5E3-4BA1-A387-A4B8C8D8F195}"/>
  </cellStyles>
  <dxfs count="3">
    <dxf>
      <font>
        <strike/>
        <color rgb="FF7F7F7F"/>
      </font>
      <fill>
        <patternFill patternType="none"/>
      </fill>
    </dxf>
    <dxf>
      <font>
        <strike/>
        <color rgb="FF7F7F7F"/>
      </font>
      <fill>
        <patternFill patternType="none"/>
      </fill>
    </dxf>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latin typeface="Arial"/>
                <a:cs typeface="Arial"/>
              </a:defRPr>
            </a:pPr>
            <a:r>
              <a:rPr lang="en-US" sz="2000">
                <a:latin typeface="Arial"/>
                <a:cs typeface="Arial"/>
              </a:rPr>
              <a:t>Release Burndown</a:t>
            </a:r>
          </a:p>
        </c:rich>
      </c:tx>
      <c:overlay val="0"/>
    </c:title>
    <c:autoTitleDeleted val="0"/>
    <c:plotArea>
      <c:layout>
        <c:manualLayout>
          <c:layoutTarget val="inner"/>
          <c:xMode val="edge"/>
          <c:yMode val="edge"/>
          <c:x val="0.120180783089318"/>
          <c:y val="0.15416939381317901"/>
          <c:w val="0.84582022033975601"/>
          <c:h val="0.74499375235526299"/>
        </c:manualLayout>
      </c:layout>
      <c:lineChart>
        <c:grouping val="standard"/>
        <c:varyColors val="0"/>
        <c:ser>
          <c:idx val="0"/>
          <c:order val="0"/>
          <c:spPr>
            <a:ln>
              <a:solidFill>
                <a:schemeClr val="bg1"/>
              </a:solidFill>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Charts!$F$6:$F$8</c:f>
              <c:numCache>
                <c:formatCode>General</c:formatCode>
                <c:ptCount val="3"/>
                <c:pt idx="0">
                  <c:v>0</c:v>
                </c:pt>
                <c:pt idx="1">
                  <c:v>-145</c:v>
                </c:pt>
                <c:pt idx="2">
                  <c:v>-135</c:v>
                </c:pt>
              </c:numCache>
            </c:numRef>
          </c:val>
          <c:smooth val="0"/>
          <c:extLst>
            <c:ext xmlns:c16="http://schemas.microsoft.com/office/drawing/2014/chart" uri="{C3380CC4-5D6E-409C-BE32-E72D297353CC}">
              <c16:uniqueId val="{00000000-32C2-465F-AAB4-7E4A2D206234}"/>
            </c:ext>
          </c:extLst>
        </c:ser>
        <c:ser>
          <c:idx val="1"/>
          <c:order val="1"/>
          <c:spPr>
            <a:ln>
              <a:solidFill>
                <a:schemeClr val="bg1"/>
              </a:solidFill>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Charts!$G$6:$G$8</c:f>
              <c:numCache>
                <c:formatCode>General</c:formatCode>
                <c:ptCount val="3"/>
                <c:pt idx="0">
                  <c:v>100</c:v>
                </c:pt>
                <c:pt idx="1">
                  <c:v>25</c:v>
                </c:pt>
                <c:pt idx="2">
                  <c:v>55</c:v>
                </c:pt>
              </c:numCache>
            </c:numRef>
          </c:val>
          <c:smooth val="0"/>
          <c:extLst>
            <c:ext xmlns:c16="http://schemas.microsoft.com/office/drawing/2014/chart" uri="{C3380CC4-5D6E-409C-BE32-E72D297353CC}">
              <c16:uniqueId val="{00000001-32C2-465F-AAB4-7E4A2D206234}"/>
            </c:ext>
          </c:extLst>
        </c:ser>
        <c:dLbls>
          <c:showLegendKey val="0"/>
          <c:showVal val="0"/>
          <c:showCatName val="0"/>
          <c:showSerName val="0"/>
          <c:showPercent val="0"/>
          <c:showBubbleSize val="0"/>
        </c:dLbls>
        <c:upDownBars>
          <c:gapWidth val="150"/>
          <c:upBars>
            <c:spPr>
              <a:solidFill>
                <a:schemeClr val="accent1"/>
              </a:solidFill>
              <a:ln>
                <a:solidFill>
                  <a:schemeClr val="accent1"/>
                </a:solidFill>
              </a:ln>
            </c:spPr>
          </c:upBars>
          <c:downBars/>
        </c:upDownBars>
        <c:smooth val="0"/>
        <c:axId val="2144712184"/>
        <c:axId val="2144717688"/>
      </c:lineChart>
      <c:catAx>
        <c:axId val="2144712184"/>
        <c:scaling>
          <c:orientation val="minMax"/>
        </c:scaling>
        <c:delete val="0"/>
        <c:axPos val="b"/>
        <c:title>
          <c:tx>
            <c:rich>
              <a:bodyPr/>
              <a:lstStyle/>
              <a:p>
                <a:pPr>
                  <a:defRPr sz="1600">
                    <a:latin typeface="Arial" pitchFamily="34" charset="0"/>
                    <a:cs typeface="Arial" pitchFamily="34" charset="0"/>
                  </a:defRPr>
                </a:pPr>
                <a:r>
                  <a:rPr lang="en-AU" sz="1600">
                    <a:latin typeface="Arial" pitchFamily="34" charset="0"/>
                    <a:cs typeface="Arial" pitchFamily="34" charset="0"/>
                  </a:rPr>
                  <a:t>Sprint</a:t>
                </a:r>
              </a:p>
            </c:rich>
          </c:tx>
          <c:overlay val="0"/>
        </c:title>
        <c:numFmt formatCode="#,##0_);\(#,##0\)" sourceLinked="0"/>
        <c:majorTickMark val="out"/>
        <c:minorTickMark val="none"/>
        <c:tickLblPos val="nextTo"/>
        <c:txPr>
          <a:bodyPr rot="0" vert="horz"/>
          <a:lstStyle/>
          <a:p>
            <a:pPr>
              <a:defRPr/>
            </a:pPr>
            <a:endParaRPr lang="en-US"/>
          </a:p>
        </c:txPr>
        <c:crossAx val="2144717688"/>
        <c:crosses val="autoZero"/>
        <c:auto val="1"/>
        <c:lblAlgn val="ctr"/>
        <c:lblOffset val="100"/>
        <c:noMultiLvlLbl val="0"/>
      </c:catAx>
      <c:valAx>
        <c:axId val="2144717688"/>
        <c:scaling>
          <c:orientation val="minMax"/>
        </c:scaling>
        <c:delete val="0"/>
        <c:axPos val="l"/>
        <c:majorGridlines/>
        <c:title>
          <c:tx>
            <c:rich>
              <a:bodyPr rot="-5400000" vert="horz"/>
              <a:lstStyle/>
              <a:p>
                <a:pPr>
                  <a:defRPr sz="1600">
                    <a:latin typeface="Arial" pitchFamily="34" charset="0"/>
                    <a:cs typeface="Arial" pitchFamily="34" charset="0"/>
                  </a:defRPr>
                </a:pPr>
                <a:r>
                  <a:rPr lang="en-US"/>
                  <a:t>Story Points</a:t>
                </a:r>
              </a:p>
            </c:rich>
          </c:tx>
          <c:overlay val="0"/>
        </c:title>
        <c:numFmt formatCode="General" sourceLinked="1"/>
        <c:majorTickMark val="out"/>
        <c:minorTickMark val="none"/>
        <c:tickLblPos val="nextTo"/>
        <c:crossAx val="2144712184"/>
        <c:crosses val="autoZero"/>
        <c:crossBetween val="between"/>
      </c:valAx>
    </c:plotArea>
    <c:plotVisOnly val="1"/>
    <c:dispBlanksAs val="gap"/>
    <c:showDLblsOverMax val="0"/>
  </c:chart>
  <c:printSettings>
    <c:headerFooter/>
    <c:pageMargins b="0.750000000000001" l="0.70000000000000095" r="0.70000000000000095" t="0.750000000000001"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cid:image001.png@01D5D50E.B865DEC0" TargetMode="Externa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504825</xdr:colOff>
      <xdr:row>30</xdr:row>
      <xdr:rowOff>0</xdr:rowOff>
    </xdr:from>
    <xdr:to>
      <xdr:col>5</xdr:col>
      <xdr:colOff>581025</xdr:colOff>
      <xdr:row>30</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476500" y="5162550"/>
          <a:ext cx="13906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2499" b="83333"/>
        <a:stretch>
          <a:fillRect/>
        </a:stretch>
      </xdr:blipFill>
      <xdr:spPr bwMode="auto">
        <a:xfrm>
          <a:off x="971550" y="2085975"/>
          <a:ext cx="36290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152400</xdr:colOff>
      <xdr:row>1</xdr:row>
      <xdr:rowOff>76200</xdr:rowOff>
    </xdr:from>
    <xdr:to>
      <xdr:col>3</xdr:col>
      <xdr:colOff>247650</xdr:colOff>
      <xdr:row>3</xdr:row>
      <xdr:rowOff>142875</xdr:rowOff>
    </xdr:to>
    <xdr:pic>
      <xdr:nvPicPr>
        <xdr:cNvPr id="21" name="Picture 20" descr="cid:image001.png@01D5D50E.B865DEC0">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457200" y="314325"/>
          <a:ext cx="1390650" cy="5238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0</xdr:col>
      <xdr:colOff>1657350</xdr:colOff>
      <xdr:row>0</xdr:row>
      <xdr:rowOff>504825</xdr:rowOff>
    </xdr:to>
    <xdr:pic>
      <xdr:nvPicPr>
        <xdr:cNvPr id="3" name="Picture 2" descr="cid:image001.png@01D5D50E.B865DEC0">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38100"/>
          <a:ext cx="1657350" cy="4667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xdr:col>
      <xdr:colOff>704850</xdr:colOff>
      <xdr:row>0</xdr:row>
      <xdr:rowOff>647700</xdr:rowOff>
    </xdr:to>
    <xdr:pic>
      <xdr:nvPicPr>
        <xdr:cNvPr id="4" name="Picture 3" descr="cid:image001.png@01D5D50E.B865DEC0">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76200"/>
          <a:ext cx="1628775" cy="5715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15</xdr:row>
      <xdr:rowOff>104775</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row r="2">
          <cell r="A2" t="str">
            <v>Initiated</v>
          </cell>
          <cell r="B2" t="str">
            <v>High</v>
          </cell>
        </row>
        <row r="3">
          <cell r="A3" t="str">
            <v>Impact Analysis</v>
          </cell>
          <cell r="B3" t="str">
            <v>Medium</v>
          </cell>
        </row>
        <row r="4">
          <cell r="A4" t="str">
            <v>Approved</v>
          </cell>
          <cell r="B4" t="str">
            <v>Low</v>
          </cell>
        </row>
        <row r="5">
          <cell r="A5" t="str">
            <v>Rejected</v>
          </cell>
        </row>
        <row r="6">
          <cell r="A6" t="str">
            <v>Deferred</v>
          </cell>
        </row>
        <row r="7">
          <cell r="A7" t="str">
            <v>Development</v>
          </cell>
        </row>
        <row r="8">
          <cell r="A8" t="str">
            <v>Closed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topLeftCell="A13" zoomScaleNormal="100" workbookViewId="0">
      <selection activeCell="P24" sqref="P24"/>
    </sheetView>
  </sheetViews>
  <sheetFormatPr defaultColWidth="9.88671875" defaultRowHeight="13.2" x14ac:dyDescent="0.25"/>
  <cols>
    <col min="1" max="1" width="4.5546875" style="4" customWidth="1"/>
    <col min="2" max="2" width="7.88671875" style="1" customWidth="1"/>
    <col min="3" max="3" width="11.5546875" style="3" customWidth="1"/>
    <col min="4" max="4" width="19.5546875" style="1" customWidth="1"/>
    <col min="5" max="5" width="19.6640625" style="1" customWidth="1"/>
    <col min="6" max="6" width="27.6640625" style="1" customWidth="1"/>
    <col min="7" max="7" width="17.88671875" style="2" customWidth="1"/>
    <col min="8" max="16384" width="9.88671875" style="1"/>
  </cols>
  <sheetData>
    <row r="1" spans="2:7" ht="18" thickBot="1" x14ac:dyDescent="0.35">
      <c r="B1" s="29"/>
      <c r="C1" s="29"/>
      <c r="D1" s="4"/>
      <c r="E1" s="4"/>
      <c r="F1" s="4"/>
      <c r="G1" s="27"/>
    </row>
    <row r="2" spans="2:7" ht="17.399999999999999" x14ac:dyDescent="0.3">
      <c r="B2" s="34"/>
      <c r="C2" s="33"/>
      <c r="D2" s="32"/>
      <c r="E2" s="32"/>
      <c r="F2" s="32"/>
      <c r="G2" s="31"/>
    </row>
    <row r="3" spans="2:7" ht="17.399999999999999" x14ac:dyDescent="0.3">
      <c r="B3" s="30"/>
      <c r="C3" s="29"/>
      <c r="D3" s="4"/>
      <c r="E3" s="4"/>
      <c r="F3" s="4"/>
      <c r="G3" s="21"/>
    </row>
    <row r="4" spans="2:7" ht="17.399999999999999" x14ac:dyDescent="0.3">
      <c r="B4" s="30"/>
      <c r="C4" s="29"/>
      <c r="D4" s="4"/>
      <c r="E4" s="4"/>
      <c r="F4" s="4"/>
      <c r="G4" s="21"/>
    </row>
    <row r="5" spans="2:7" ht="17.399999999999999" x14ac:dyDescent="0.3">
      <c r="B5" s="30"/>
      <c r="C5" s="29"/>
      <c r="D5" s="4"/>
      <c r="E5" s="4"/>
      <c r="F5" s="4"/>
      <c r="G5" s="21"/>
    </row>
    <row r="6" spans="2:7" ht="20.25" customHeight="1" x14ac:dyDescent="0.25">
      <c r="B6" s="85"/>
      <c r="C6" s="86"/>
      <c r="D6" s="86"/>
      <c r="E6" s="86"/>
      <c r="F6" s="86"/>
      <c r="G6" s="87"/>
    </row>
    <row r="7" spans="2:7" ht="21" customHeight="1" x14ac:dyDescent="0.25">
      <c r="B7" s="85"/>
      <c r="C7" s="86"/>
      <c r="D7" s="86"/>
      <c r="E7" s="86"/>
      <c r="F7" s="86"/>
      <c r="G7" s="87"/>
    </row>
    <row r="8" spans="2:7" ht="29.25" customHeight="1" x14ac:dyDescent="0.25">
      <c r="B8" s="91" t="s">
        <v>57</v>
      </c>
      <c r="C8" s="92"/>
      <c r="D8" s="92"/>
      <c r="E8" s="92"/>
      <c r="F8" s="92"/>
      <c r="G8" s="93"/>
    </row>
    <row r="9" spans="2:7" ht="29.25" customHeight="1" x14ac:dyDescent="0.25">
      <c r="B9" s="91"/>
      <c r="C9" s="92"/>
      <c r="D9" s="92"/>
      <c r="E9" s="92"/>
      <c r="F9" s="92"/>
      <c r="G9" s="93"/>
    </row>
    <row r="10" spans="2:7" ht="55.5" customHeight="1" x14ac:dyDescent="0.25">
      <c r="B10" s="85" t="s">
        <v>0</v>
      </c>
      <c r="C10" s="86"/>
      <c r="D10" s="86"/>
      <c r="E10" s="86"/>
      <c r="F10" s="86"/>
      <c r="G10" s="87"/>
    </row>
    <row r="11" spans="2:7" ht="18.75" customHeight="1" x14ac:dyDescent="0.25">
      <c r="B11" s="88"/>
      <c r="C11" s="89"/>
      <c r="D11" s="89"/>
      <c r="E11" s="89"/>
      <c r="F11" s="89"/>
      <c r="G11" s="90"/>
    </row>
    <row r="12" spans="2:7" ht="21" x14ac:dyDescent="0.25">
      <c r="B12" s="79"/>
      <c r="C12" s="80"/>
      <c r="D12" s="80"/>
      <c r="E12" s="80"/>
      <c r="F12" s="80"/>
      <c r="G12" s="81"/>
    </row>
    <row r="13" spans="2:7" x14ac:dyDescent="0.25">
      <c r="B13" s="28"/>
      <c r="C13" s="27"/>
      <c r="D13" s="27"/>
      <c r="E13" s="27"/>
      <c r="F13" s="27"/>
      <c r="G13" s="24"/>
    </row>
    <row r="14" spans="2:7" x14ac:dyDescent="0.25">
      <c r="B14" s="14"/>
      <c r="C14" s="25"/>
      <c r="D14" s="4"/>
      <c r="E14" s="4"/>
      <c r="F14" s="4"/>
      <c r="G14" s="24"/>
    </row>
    <row r="15" spans="2:7" x14ac:dyDescent="0.25">
      <c r="B15" s="14"/>
      <c r="C15" s="25"/>
      <c r="D15" s="4"/>
      <c r="E15" s="4"/>
      <c r="F15" s="4"/>
      <c r="G15" s="24"/>
    </row>
    <row r="16" spans="2:7" x14ac:dyDescent="0.25">
      <c r="B16" s="14"/>
      <c r="C16" s="25"/>
      <c r="D16" s="4"/>
      <c r="E16" s="4"/>
      <c r="F16" s="4"/>
      <c r="G16" s="24"/>
    </row>
    <row r="17" spans="1:8" x14ac:dyDescent="0.25">
      <c r="B17" s="14"/>
      <c r="C17" s="25"/>
      <c r="D17" s="4"/>
      <c r="E17" s="4"/>
      <c r="F17" s="4"/>
      <c r="G17" s="24"/>
    </row>
    <row r="18" spans="1:8" x14ac:dyDescent="0.25">
      <c r="B18" s="14"/>
      <c r="C18" s="25"/>
      <c r="D18" s="4"/>
      <c r="E18" s="4"/>
      <c r="F18" s="4"/>
      <c r="G18" s="24"/>
    </row>
    <row r="19" spans="1:8" x14ac:dyDescent="0.25">
      <c r="B19" s="14"/>
      <c r="C19" s="25"/>
      <c r="D19" s="4"/>
      <c r="E19" s="4"/>
      <c r="F19" s="4"/>
      <c r="G19" s="24"/>
    </row>
    <row r="20" spans="1:8" ht="13.8" x14ac:dyDescent="0.25">
      <c r="B20" s="82"/>
      <c r="C20" s="83"/>
      <c r="D20" s="83"/>
      <c r="E20" s="83"/>
      <c r="F20" s="83"/>
      <c r="G20" s="84"/>
      <c r="H20" s="26"/>
    </row>
    <row r="21" spans="1:8" x14ac:dyDescent="0.25">
      <c r="B21" s="14"/>
      <c r="C21" s="25"/>
      <c r="D21" s="4"/>
      <c r="E21" s="4"/>
      <c r="F21" s="4"/>
      <c r="G21" s="24"/>
    </row>
    <row r="22" spans="1:8" x14ac:dyDescent="0.25">
      <c r="B22" s="14"/>
      <c r="C22" s="25"/>
      <c r="D22" s="4"/>
      <c r="E22" s="4"/>
      <c r="F22" s="4"/>
      <c r="G22" s="24"/>
    </row>
    <row r="23" spans="1:8" x14ac:dyDescent="0.25">
      <c r="B23" s="14"/>
      <c r="C23" s="25"/>
      <c r="D23" s="4"/>
      <c r="E23" s="4"/>
      <c r="F23" s="4"/>
      <c r="G23" s="24"/>
    </row>
    <row r="24" spans="1:8" ht="26.4" x14ac:dyDescent="0.25">
      <c r="B24" s="14"/>
      <c r="C24" s="23"/>
      <c r="D24" s="23" t="s">
        <v>1</v>
      </c>
      <c r="E24" s="23" t="s">
        <v>2</v>
      </c>
      <c r="F24" s="23" t="s">
        <v>3</v>
      </c>
      <c r="G24" s="21"/>
      <c r="H24" s="4"/>
    </row>
    <row r="25" spans="1:8" ht="21" customHeight="1" x14ac:dyDescent="0.25">
      <c r="B25" s="14"/>
      <c r="C25" s="22" t="s">
        <v>4</v>
      </c>
      <c r="D25" s="49" t="s">
        <v>58</v>
      </c>
      <c r="E25" s="49"/>
      <c r="F25" s="49"/>
      <c r="G25" s="21"/>
      <c r="H25" s="4"/>
    </row>
    <row r="26" spans="1:8" ht="21" customHeight="1" x14ac:dyDescent="0.25">
      <c r="B26" s="14"/>
      <c r="C26" s="22" t="s">
        <v>5</v>
      </c>
      <c r="D26" s="49"/>
      <c r="E26" s="49"/>
      <c r="F26" s="49"/>
      <c r="G26" s="21"/>
      <c r="H26" s="4"/>
    </row>
    <row r="27" spans="1:8" ht="21" customHeight="1" x14ac:dyDescent="0.25">
      <c r="B27" s="14"/>
      <c r="C27" s="22" t="s">
        <v>6</v>
      </c>
      <c r="D27" s="50"/>
      <c r="E27" s="50"/>
      <c r="F27" s="50"/>
      <c r="G27" s="21"/>
      <c r="H27" s="4"/>
    </row>
    <row r="28" spans="1:8" ht="21" customHeight="1" x14ac:dyDescent="0.25">
      <c r="B28" s="14"/>
      <c r="C28" s="22" t="s">
        <v>7</v>
      </c>
      <c r="D28" s="51"/>
      <c r="E28" s="51"/>
      <c r="F28" s="51"/>
      <c r="G28" s="21"/>
      <c r="H28" s="4"/>
    </row>
    <row r="29" spans="1:8" s="15" customFormat="1" x14ac:dyDescent="0.25">
      <c r="A29" s="17"/>
      <c r="B29" s="14"/>
      <c r="C29" s="20"/>
      <c r="D29" s="4"/>
      <c r="E29" s="4"/>
      <c r="F29" s="17"/>
      <c r="G29" s="16"/>
    </row>
    <row r="30" spans="1:8" s="15" customFormat="1" x14ac:dyDescent="0.25">
      <c r="A30" s="17"/>
      <c r="B30" s="19"/>
      <c r="C30" s="18"/>
      <c r="D30" s="4"/>
      <c r="E30" s="4"/>
      <c r="F30" s="17"/>
      <c r="G30" s="16"/>
    </row>
    <row r="31" spans="1:8" ht="13.8" thickBot="1" x14ac:dyDescent="0.3">
      <c r="B31" s="13" t="s">
        <v>8</v>
      </c>
      <c r="C31" s="12"/>
      <c r="D31" s="11"/>
      <c r="E31" s="11"/>
      <c r="F31" s="10" t="s">
        <v>9</v>
      </c>
      <c r="G31" s="9"/>
    </row>
    <row r="32" spans="1:8" ht="12.75" customHeight="1" x14ac:dyDescent="0.25"/>
    <row r="33" spans="2:4" x14ac:dyDescent="0.25">
      <c r="B33" s="8"/>
      <c r="C33" s="7"/>
      <c r="D33" s="6"/>
    </row>
    <row r="34" spans="2:4" x14ac:dyDescent="0.25">
      <c r="B34" s="5"/>
    </row>
  </sheetData>
  <sheetProtection selectLockedCells="1"/>
  <mergeCells count="6">
    <mergeCell ref="B12:G12"/>
    <mergeCell ref="B20:G20"/>
    <mergeCell ref="B6:G7"/>
    <mergeCell ref="B10:G10"/>
    <mergeCell ref="B11:G11"/>
    <mergeCell ref="B8:G9"/>
  </mergeCells>
  <pageMargins left="0.75" right="0.75" top="1" bottom="1" header="0.5" footer="0.5"/>
  <pageSetup scale="94" orientation="portrait" r:id="rId1"/>
  <headerFooter alignWithMargins="0">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
  <sheetViews>
    <sheetView topLeftCell="A25" zoomScaleNormal="100" workbookViewId="0">
      <selection activeCell="B1" sqref="B1:H1"/>
    </sheetView>
  </sheetViews>
  <sheetFormatPr defaultColWidth="9.88671875" defaultRowHeight="13.2" x14ac:dyDescent="0.25"/>
  <cols>
    <col min="1" max="1" width="27.109375" style="40" customWidth="1"/>
    <col min="2" max="2" width="7.88671875" style="37" customWidth="1"/>
    <col min="3" max="3" width="41.44140625" style="37" customWidth="1"/>
    <col min="4" max="4" width="86.5546875" style="37" customWidth="1"/>
    <col min="5" max="5" width="15.88671875" style="37" customWidth="1"/>
    <col min="6" max="6" width="22.6640625" style="38" bestFit="1" customWidth="1"/>
    <col min="7" max="16384" width="9.88671875" style="37"/>
  </cols>
  <sheetData>
    <row r="1" spans="2:15" s="35" customFormat="1" ht="57" customHeight="1" thickBot="1" x14ac:dyDescent="0.35">
      <c r="B1" s="96" t="s">
        <v>10</v>
      </c>
      <c r="C1" s="97"/>
      <c r="D1" s="97"/>
      <c r="E1" s="97"/>
      <c r="F1" s="97"/>
      <c r="G1" s="97"/>
      <c r="H1" s="97"/>
      <c r="N1" s="36"/>
      <c r="O1" s="36"/>
    </row>
    <row r="2" spans="2:15" ht="13.8" thickTop="1" x14ac:dyDescent="0.25"/>
    <row r="3" spans="2:15" ht="3" customHeight="1" x14ac:dyDescent="0.25"/>
    <row r="4" spans="2:15" ht="29.1" customHeight="1" x14ac:dyDescent="0.25">
      <c r="C4" s="94" t="s">
        <v>11</v>
      </c>
      <c r="D4" s="95"/>
    </row>
    <row r="5" spans="2:15" x14ac:dyDescent="0.25">
      <c r="C5" s="39" t="s">
        <v>12</v>
      </c>
      <c r="D5" s="39"/>
    </row>
    <row r="6" spans="2:15" ht="93.75" customHeight="1" x14ac:dyDescent="0.25">
      <c r="C6" s="98" t="s">
        <v>13</v>
      </c>
      <c r="D6" s="99"/>
    </row>
    <row r="7" spans="2:15" ht="26.4" x14ac:dyDescent="0.25">
      <c r="C7" s="43" t="s">
        <v>14</v>
      </c>
      <c r="D7" s="46" t="s">
        <v>15</v>
      </c>
    </row>
    <row r="8" spans="2:15" ht="52.8" x14ac:dyDescent="0.25">
      <c r="C8" s="43" t="s">
        <v>16</v>
      </c>
      <c r="D8" s="46" t="s">
        <v>17</v>
      </c>
    </row>
    <row r="9" spans="2:15" ht="79.2" x14ac:dyDescent="0.25">
      <c r="C9" s="43" t="s">
        <v>18</v>
      </c>
      <c r="D9" s="46" t="s">
        <v>19</v>
      </c>
    </row>
    <row r="10" spans="2:15" ht="39.6" x14ac:dyDescent="0.25">
      <c r="C10" s="43" t="s">
        <v>20</v>
      </c>
      <c r="D10" s="46" t="s">
        <v>21</v>
      </c>
    </row>
    <row r="11" spans="2:15" ht="79.2" x14ac:dyDescent="0.25">
      <c r="C11" s="43" t="s">
        <v>22</v>
      </c>
      <c r="D11" s="46" t="s">
        <v>23</v>
      </c>
    </row>
    <row r="12" spans="2:15" ht="39.6" x14ac:dyDescent="0.25">
      <c r="C12" s="43" t="s">
        <v>24</v>
      </c>
      <c r="D12" s="47" t="s">
        <v>25</v>
      </c>
    </row>
    <row r="13" spans="2:15" ht="52.8" x14ac:dyDescent="0.25">
      <c r="C13" s="43" t="s">
        <v>26</v>
      </c>
      <c r="D13" s="47" t="s">
        <v>27</v>
      </c>
    </row>
    <row r="14" spans="2:15" x14ac:dyDescent="0.25">
      <c r="C14" s="43" t="s">
        <v>28</v>
      </c>
      <c r="D14" s="61" t="s">
        <v>29</v>
      </c>
    </row>
    <row r="15" spans="2:15" x14ac:dyDescent="0.25">
      <c r="C15" s="43" t="s">
        <v>30</v>
      </c>
      <c r="D15" s="61" t="s">
        <v>31</v>
      </c>
    </row>
    <row r="16" spans="2:15" x14ac:dyDescent="0.25">
      <c r="C16" s="43" t="s">
        <v>32</v>
      </c>
      <c r="D16" s="61" t="s">
        <v>33</v>
      </c>
    </row>
    <row r="17" spans="1:4" ht="26.4" x14ac:dyDescent="0.25">
      <c r="C17" s="43" t="s">
        <v>34</v>
      </c>
      <c r="D17" s="48" t="s">
        <v>35</v>
      </c>
    </row>
    <row r="19" spans="1:4" ht="29.1" customHeight="1" x14ac:dyDescent="0.25">
      <c r="C19" s="94" t="s">
        <v>36</v>
      </c>
      <c r="D19" s="95"/>
    </row>
    <row r="20" spans="1:4" ht="26.4" x14ac:dyDescent="0.25">
      <c r="C20" s="44" t="s">
        <v>24</v>
      </c>
      <c r="D20" s="61" t="s">
        <v>37</v>
      </c>
    </row>
    <row r="21" spans="1:4" ht="39" customHeight="1" x14ac:dyDescent="0.25">
      <c r="C21" s="45" t="s">
        <v>38</v>
      </c>
      <c r="D21" s="61" t="s">
        <v>39</v>
      </c>
    </row>
    <row r="22" spans="1:4" ht="46.5" customHeight="1" x14ac:dyDescent="0.25">
      <c r="C22" s="44" t="s">
        <v>28</v>
      </c>
      <c r="D22" s="61" t="s">
        <v>40</v>
      </c>
    </row>
    <row r="23" spans="1:4" ht="39.6" x14ac:dyDescent="0.25">
      <c r="C23" s="44" t="s">
        <v>41</v>
      </c>
      <c r="D23" s="61" t="s">
        <v>42</v>
      </c>
    </row>
    <row r="24" spans="1:4" ht="26.4" x14ac:dyDescent="0.25">
      <c r="A24" s="41"/>
      <c r="B24" s="42"/>
      <c r="C24" s="44" t="s">
        <v>43</v>
      </c>
      <c r="D24" s="61" t="s">
        <v>44</v>
      </c>
    </row>
    <row r="25" spans="1:4" ht="132" x14ac:dyDescent="0.25">
      <c r="C25" s="44" t="s">
        <v>45</v>
      </c>
      <c r="D25" s="61" t="s">
        <v>46</v>
      </c>
    </row>
    <row r="28" spans="1:4" ht="354.75" customHeight="1" x14ac:dyDescent="0.25"/>
    <row r="32" spans="1:4" ht="360.75" customHeight="1" x14ac:dyDescent="0.25"/>
    <row r="34" ht="153" customHeight="1" x14ac:dyDescent="0.25"/>
    <row r="37" ht="33" customHeight="1" x14ac:dyDescent="0.25"/>
    <row r="38" ht="33" customHeight="1" x14ac:dyDescent="0.25"/>
    <row r="39" ht="25.5" customHeight="1" x14ac:dyDescent="0.25"/>
    <row r="40" ht="25.5" customHeight="1" x14ac:dyDescent="0.25"/>
    <row r="41" ht="18" customHeight="1" x14ac:dyDescent="0.25"/>
    <row r="42" ht="25.5" customHeight="1" x14ac:dyDescent="0.25"/>
    <row r="43" ht="25.5" customHeight="1" x14ac:dyDescent="0.25"/>
  </sheetData>
  <sheetProtection selectLockedCells="1" selectUnlockedCells="1"/>
  <mergeCells count="4">
    <mergeCell ref="C19:D19"/>
    <mergeCell ref="B1:H1"/>
    <mergeCell ref="C4:D4"/>
    <mergeCell ref="C6:D6"/>
  </mergeCells>
  <dataValidations count="2">
    <dataValidation type="list" allowBlank="1" showInputMessage="1" showErrorMessage="1" sqref="D1:G1" xr:uid="{00000000-0002-0000-0100-000000000000}">
      <formula1>"Simple,Average,Complex"</formula1>
    </dataValidation>
    <dataValidation type="list" allowBlank="1" showInputMessage="1" showErrorMessage="1" sqref="H1" xr:uid="{00000000-0002-0000-0100-000001000000}">
      <formula1>"Functional, External Interface, User Interface,System Interface, Non functional"</formula1>
    </dataValidation>
  </dataValidations>
  <pageMargins left="0.75" right="0.75" top="1" bottom="1" header="0.5" footer="0.5"/>
  <pageSetup paperSize="9" orientation="portrait" r:id="rId1"/>
  <headerFooter alignWithMargins="0">
    <oddFooter>&amp;RPage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3"/>
  <sheetViews>
    <sheetView tabSelected="1" workbookViewId="0">
      <pane ySplit="3" topLeftCell="A4" activePane="bottomLeft" state="frozen"/>
      <selection pane="bottomLeft" sqref="A1:K1"/>
    </sheetView>
  </sheetViews>
  <sheetFormatPr defaultColWidth="8.88671875" defaultRowHeight="11.4" x14ac:dyDescent="0.3"/>
  <cols>
    <col min="1" max="1" width="13.88671875" style="116" customWidth="1"/>
    <col min="2" max="3" width="17.44140625" style="62" customWidth="1"/>
    <col min="4" max="4" width="20" style="62" customWidth="1"/>
    <col min="5" max="5" width="40.44140625" style="62" customWidth="1"/>
    <col min="6" max="6" width="14.88671875" style="62" bestFit="1" customWidth="1"/>
    <col min="7" max="7" width="14.88671875" style="62" customWidth="1"/>
    <col min="8" max="8" width="8.88671875" style="67"/>
    <col min="9" max="9" width="8.33203125" style="69" customWidth="1"/>
    <col min="10" max="10" width="7.6640625" style="67" customWidth="1"/>
    <col min="11" max="11" width="8.88671875" style="68"/>
    <col min="12" max="16384" width="8.88671875" style="64"/>
  </cols>
  <sheetData>
    <row r="1" spans="1:12" s="59" customFormat="1" ht="57" customHeight="1" thickBot="1" x14ac:dyDescent="0.35">
      <c r="A1" s="104" t="s">
        <v>84</v>
      </c>
      <c r="B1" s="105"/>
      <c r="C1" s="105"/>
      <c r="D1" s="105"/>
      <c r="E1" s="105"/>
      <c r="F1" s="105"/>
      <c r="G1" s="105"/>
      <c r="H1" s="105"/>
      <c r="I1" s="105"/>
      <c r="J1" s="105"/>
      <c r="K1" s="106"/>
    </row>
    <row r="2" spans="1:12" s="66" customFormat="1" ht="15.75" customHeight="1" x14ac:dyDescent="0.3">
      <c r="A2" s="102"/>
      <c r="B2" s="103"/>
      <c r="C2" s="103"/>
      <c r="D2" s="103"/>
      <c r="E2" s="103"/>
      <c r="F2" s="103"/>
      <c r="G2" s="103"/>
      <c r="H2" s="100" t="s">
        <v>28</v>
      </c>
      <c r="I2" s="100"/>
      <c r="J2" s="100"/>
      <c r="K2" s="101"/>
      <c r="L2" s="65"/>
    </row>
    <row r="3" spans="1:12" s="63" customFormat="1" ht="40.200000000000003" thickBot="1" x14ac:dyDescent="0.35">
      <c r="A3" s="74" t="s">
        <v>47</v>
      </c>
      <c r="B3" s="75" t="s">
        <v>16</v>
      </c>
      <c r="C3" s="75" t="s">
        <v>18</v>
      </c>
      <c r="D3" s="75" t="s">
        <v>20</v>
      </c>
      <c r="E3" s="75" t="s">
        <v>22</v>
      </c>
      <c r="F3" s="76" t="s">
        <v>24</v>
      </c>
      <c r="G3" s="76" t="s">
        <v>48</v>
      </c>
      <c r="H3" s="77" t="s">
        <v>28</v>
      </c>
      <c r="I3" s="77" t="s">
        <v>30</v>
      </c>
      <c r="J3" s="77" t="s">
        <v>32</v>
      </c>
      <c r="K3" s="78" t="s">
        <v>34</v>
      </c>
    </row>
    <row r="4" spans="1:12" ht="193.8" x14ac:dyDescent="0.3">
      <c r="A4" s="115">
        <v>1</v>
      </c>
      <c r="B4" s="70" t="s">
        <v>59</v>
      </c>
      <c r="C4" s="70" t="s">
        <v>60</v>
      </c>
      <c r="D4" s="118" t="s">
        <v>61</v>
      </c>
      <c r="E4" s="119" t="s">
        <v>62</v>
      </c>
      <c r="F4" s="70"/>
      <c r="G4" s="70"/>
      <c r="H4" s="71"/>
      <c r="I4" s="72"/>
      <c r="J4" s="71"/>
      <c r="K4" s="73"/>
    </row>
    <row r="5" spans="1:12" ht="68.400000000000006" x14ac:dyDescent="0.3">
      <c r="A5" s="116">
        <v>2</v>
      </c>
      <c r="B5" s="121" t="s">
        <v>63</v>
      </c>
      <c r="C5" s="121" t="s">
        <v>64</v>
      </c>
      <c r="D5" s="122" t="s">
        <v>65</v>
      </c>
      <c r="E5" s="120" t="s">
        <v>66</v>
      </c>
    </row>
    <row r="6" spans="1:12" ht="45.6" x14ac:dyDescent="0.3">
      <c r="A6" s="116">
        <v>3</v>
      </c>
      <c r="B6" s="62" t="s">
        <v>78</v>
      </c>
      <c r="C6" s="62" t="s">
        <v>68</v>
      </c>
      <c r="D6" s="62" t="s">
        <v>79</v>
      </c>
      <c r="E6" s="62" t="s">
        <v>80</v>
      </c>
    </row>
    <row r="7" spans="1:12" ht="228" x14ac:dyDescent="0.3">
      <c r="A7" s="116">
        <v>4</v>
      </c>
      <c r="B7" s="62" t="s">
        <v>67</v>
      </c>
      <c r="C7" s="62" t="s">
        <v>68</v>
      </c>
      <c r="D7" s="62" t="s">
        <v>61</v>
      </c>
      <c r="E7" s="120" t="s">
        <v>69</v>
      </c>
    </row>
    <row r="8" spans="1:12" ht="68.400000000000006" x14ac:dyDescent="0.3">
      <c r="A8" s="116">
        <v>5</v>
      </c>
      <c r="B8" s="62" t="s">
        <v>70</v>
      </c>
      <c r="C8" s="62" t="s">
        <v>68</v>
      </c>
      <c r="D8" s="62" t="s">
        <v>61</v>
      </c>
      <c r="E8" s="120" t="s">
        <v>66</v>
      </c>
    </row>
    <row r="9" spans="1:12" ht="34.200000000000003" x14ac:dyDescent="0.3">
      <c r="A9" s="116">
        <v>6</v>
      </c>
      <c r="B9" s="123" t="s">
        <v>75</v>
      </c>
      <c r="C9" s="124" t="s">
        <v>71</v>
      </c>
      <c r="D9" s="124" t="s">
        <v>73</v>
      </c>
      <c r="E9" s="125" t="s">
        <v>74</v>
      </c>
      <c r="F9" s="125"/>
    </row>
    <row r="10" spans="1:12" ht="45.6" x14ac:dyDescent="0.3">
      <c r="A10" s="116">
        <v>7</v>
      </c>
      <c r="B10" s="123" t="s">
        <v>72</v>
      </c>
      <c r="C10" s="124" t="s">
        <v>71</v>
      </c>
      <c r="D10" s="124" t="s">
        <v>76</v>
      </c>
      <c r="E10" s="125" t="s">
        <v>77</v>
      </c>
    </row>
    <row r="11" spans="1:12" ht="68.400000000000006" x14ac:dyDescent="0.3">
      <c r="A11" s="117">
        <v>8</v>
      </c>
      <c r="B11" s="126" t="s">
        <v>81</v>
      </c>
      <c r="C11" s="126" t="s">
        <v>82</v>
      </c>
      <c r="D11" s="127" t="s">
        <v>83</v>
      </c>
      <c r="E11" s="120" t="s">
        <v>66</v>
      </c>
      <c r="I11" s="67"/>
    </row>
    <row r="12" spans="1:12" x14ac:dyDescent="0.3">
      <c r="A12" s="117">
        <v>9</v>
      </c>
      <c r="I12" s="67"/>
    </row>
    <row r="13" spans="1:12" x14ac:dyDescent="0.3">
      <c r="A13" s="117">
        <v>10</v>
      </c>
      <c r="I13" s="67"/>
    </row>
    <row r="14" spans="1:12" x14ac:dyDescent="0.3">
      <c r="A14" s="117">
        <v>11</v>
      </c>
      <c r="I14" s="67"/>
    </row>
    <row r="15" spans="1:12" x14ac:dyDescent="0.3">
      <c r="A15" s="116">
        <v>12</v>
      </c>
    </row>
    <row r="16" spans="1:12" x14ac:dyDescent="0.3">
      <c r="A16" s="116">
        <v>13</v>
      </c>
    </row>
    <row r="17" spans="1:1" x14ac:dyDescent="0.3">
      <c r="A17" s="116">
        <v>14</v>
      </c>
    </row>
    <row r="18" spans="1:1" x14ac:dyDescent="0.3">
      <c r="A18" s="116">
        <v>15</v>
      </c>
    </row>
    <row r="19" spans="1:1" x14ac:dyDescent="0.3">
      <c r="A19" s="116">
        <v>16</v>
      </c>
    </row>
    <row r="20" spans="1:1" x14ac:dyDescent="0.3">
      <c r="A20" s="116">
        <v>17</v>
      </c>
    </row>
    <row r="21" spans="1:1" x14ac:dyDescent="0.3">
      <c r="A21" s="116">
        <v>18</v>
      </c>
    </row>
    <row r="22" spans="1:1" x14ac:dyDescent="0.3">
      <c r="A22" s="116">
        <v>19</v>
      </c>
    </row>
    <row r="23" spans="1:1" x14ac:dyDescent="0.3">
      <c r="A23" s="116">
        <v>20</v>
      </c>
    </row>
  </sheetData>
  <sheetProtection selectLockedCells="1"/>
  <mergeCells count="3">
    <mergeCell ref="H2:K2"/>
    <mergeCell ref="A2:G2"/>
    <mergeCell ref="A1:K1"/>
  </mergeCells>
  <conditionalFormatting sqref="A82:G1048576 A15:F81 F10 A7:D7 F7 A8:F9 A5:F6 A9:A10 A11:E14">
    <cfRule type="expression" dxfId="2" priority="5">
      <formula>#REF!="rejected"</formula>
    </cfRule>
  </conditionalFormatting>
  <conditionalFormatting sqref="B10:E10">
    <cfRule type="expression" dxfId="1" priority="2">
      <formula>#REF!="rejected"</formula>
    </cfRule>
  </conditionalFormatting>
  <conditionalFormatting sqref="B9:E9">
    <cfRule type="expression" dxfId="0" priority="1">
      <formula>#REF!="rejected"</formula>
    </cfRule>
  </conditionalFormatting>
  <dataValidations count="2">
    <dataValidation type="list" allowBlank="1" showInputMessage="1" showErrorMessage="1" sqref="G4:G81 K4:K80" xr:uid="{00000000-0002-0000-0200-000000000000}">
      <formula1>"1,2,3,5,8,13,21"</formula1>
    </dataValidation>
    <dataValidation type="list" allowBlank="1" showInputMessage="1" showErrorMessage="1" sqref="H4:H88" xr:uid="{00000000-0002-0000-0200-000001000000}">
      <formula1>"Yes,No"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election activeCell="C8" sqref="C8"/>
    </sheetView>
  </sheetViews>
  <sheetFormatPr defaultColWidth="8.88671875" defaultRowHeight="13.2" x14ac:dyDescent="0.25"/>
  <cols>
    <col min="1" max="1" width="8.88671875" style="53"/>
    <col min="2" max="2" width="10.88671875" style="53" bestFit="1" customWidth="1"/>
    <col min="3" max="3" width="9.44140625" style="53" bestFit="1" customWidth="1"/>
    <col min="4" max="4" width="12.44140625" style="53" customWidth="1"/>
    <col min="5" max="5" width="11.109375" style="53" customWidth="1"/>
    <col min="6" max="7" width="8.88671875" style="54"/>
    <col min="8" max="16384" width="8.88671875" style="53"/>
  </cols>
  <sheetData>
    <row r="1" spans="1:7" ht="24.6" x14ac:dyDescent="0.4">
      <c r="A1" s="52" t="s">
        <v>49</v>
      </c>
    </row>
    <row r="2" spans="1:7" x14ac:dyDescent="0.25">
      <c r="A2" s="109" t="s">
        <v>50</v>
      </c>
      <c r="B2" s="109"/>
      <c r="C2" s="109"/>
      <c r="D2" s="109"/>
    </row>
    <row r="4" spans="1:7" ht="15" customHeight="1" x14ac:dyDescent="0.25">
      <c r="A4" s="110" t="s">
        <v>24</v>
      </c>
      <c r="B4" s="112" t="s">
        <v>51</v>
      </c>
      <c r="C4" s="112"/>
      <c r="D4" s="112"/>
      <c r="E4" s="113" t="s">
        <v>43</v>
      </c>
      <c r="F4" s="107" t="s">
        <v>52</v>
      </c>
      <c r="G4" s="107" t="s">
        <v>53</v>
      </c>
    </row>
    <row r="5" spans="1:7" ht="13.8" thickBot="1" x14ac:dyDescent="0.3">
      <c r="A5" s="111"/>
      <c r="B5" s="60" t="s">
        <v>54</v>
      </c>
      <c r="C5" s="60" t="s">
        <v>28</v>
      </c>
      <c r="D5" s="60" t="s">
        <v>41</v>
      </c>
      <c r="E5" s="114"/>
      <c r="F5" s="108"/>
      <c r="G5" s="108"/>
    </row>
    <row r="6" spans="1:7" x14ac:dyDescent="0.25">
      <c r="A6" s="56">
        <v>1</v>
      </c>
      <c r="B6" s="57">
        <v>100</v>
      </c>
      <c r="C6" s="58">
        <v>75</v>
      </c>
      <c r="D6" s="53">
        <v>0</v>
      </c>
      <c r="E6" s="55" t="str">
        <f t="shared" ref="E6:E7" si="0">ROUND((C6/(C6 +B6))*100,0) &amp; "%"</f>
        <v>43%</v>
      </c>
      <c r="F6" s="54">
        <f>-D6</f>
        <v>0</v>
      </c>
      <c r="G6" s="54">
        <f>B6-D6</f>
        <v>100</v>
      </c>
    </row>
    <row r="7" spans="1:7" x14ac:dyDescent="0.25">
      <c r="A7" s="56">
        <v>2</v>
      </c>
      <c r="B7" s="57">
        <v>170</v>
      </c>
      <c r="C7" s="57">
        <v>150</v>
      </c>
      <c r="D7" s="53">
        <f t="shared" ref="D7" si="1">((B7+C7)-(B6+C6)+D6)</f>
        <v>145</v>
      </c>
      <c r="E7" s="55" t="str">
        <f t="shared" si="0"/>
        <v>47%</v>
      </c>
      <c r="F7" s="54">
        <f>-D7</f>
        <v>-145</v>
      </c>
      <c r="G7" s="54">
        <f>B7-D7</f>
        <v>25</v>
      </c>
    </row>
    <row r="8" spans="1:7" x14ac:dyDescent="0.25">
      <c r="A8" s="56">
        <v>3</v>
      </c>
      <c r="B8" s="57">
        <v>190</v>
      </c>
      <c r="C8" s="57">
        <v>120</v>
      </c>
      <c r="D8" s="53">
        <f t="shared" ref="D8" si="2">((B8+C8)-(B7+C7)+D7)</f>
        <v>135</v>
      </c>
      <c r="E8" s="55" t="str">
        <f t="shared" ref="E8" si="3">ROUND((C8/(C8 +B8))*100,0) &amp; "%"</f>
        <v>39%</v>
      </c>
      <c r="F8" s="54">
        <f>-D8</f>
        <v>-135</v>
      </c>
      <c r="G8" s="54">
        <f>B8-D8</f>
        <v>55</v>
      </c>
    </row>
    <row r="28" spans="3:3" x14ac:dyDescent="0.25">
      <c r="C28" s="53" t="s">
        <v>55</v>
      </c>
    </row>
    <row r="29" spans="3:3" x14ac:dyDescent="0.25">
      <c r="C29" s="53" t="s">
        <v>56</v>
      </c>
    </row>
  </sheetData>
  <sheetProtection selectLockedCells="1"/>
  <mergeCells count="6">
    <mergeCell ref="G4:G5"/>
    <mergeCell ref="A2:D2"/>
    <mergeCell ref="A4:A5"/>
    <mergeCell ref="B4:D4"/>
    <mergeCell ref="E4:E5"/>
    <mergeCell ref="F4:F5"/>
  </mergeCells>
  <dataValidations count="1">
    <dataValidation type="list" allowBlank="1" showInputMessage="1" showErrorMessage="1" sqref="E28" xr:uid="{00000000-0002-0000-0300-000000000000}">
      <formula1>$C$28:$C$30</formula1>
    </dataValidation>
  </dataValidations>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G29" sqref="G29"/>
    </sheetView>
  </sheetViews>
  <sheetFormatPr defaultColWidth="11.44140625" defaultRowHeight="14.4" x14ac:dyDescent="0.3"/>
  <sheetData>
    <row r="1" spans="1:1" x14ac:dyDescent="0.3">
      <c r="A1">
        <v>0</v>
      </c>
    </row>
    <row r="2" spans="1:1" x14ac:dyDescent="0.3">
      <c r="A2">
        <v>5</v>
      </c>
    </row>
    <row r="3" spans="1:1" x14ac:dyDescent="0.3">
      <c r="A3">
        <v>10</v>
      </c>
    </row>
    <row r="4" spans="1:1" x14ac:dyDescent="0.3">
      <c r="A4">
        <v>20</v>
      </c>
    </row>
    <row r="5" spans="1:1" x14ac:dyDescent="0.3">
      <c r="A5">
        <v>30</v>
      </c>
    </row>
    <row r="6" spans="1:1" x14ac:dyDescent="0.3">
      <c r="A6">
        <v>50</v>
      </c>
    </row>
    <row r="7" spans="1:1" x14ac:dyDescent="0.3">
      <c r="A7">
        <v>80</v>
      </c>
    </row>
    <row r="8" spans="1:1" x14ac:dyDescent="0.3">
      <c r="A8">
        <v>130</v>
      </c>
    </row>
    <row r="9" spans="1:1" x14ac:dyDescent="0.3">
      <c r="A9">
        <v>200</v>
      </c>
    </row>
    <row r="10" spans="1:1" x14ac:dyDescent="0.3">
      <c r="A10">
        <v>400</v>
      </c>
    </row>
    <row r="11" spans="1:1" x14ac:dyDescent="0.3">
      <c r="A11">
        <v>1000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2" ma:contentTypeDescription="Create a new document." ma:contentTypeScope="" ma:versionID="e242aab5cd6de1005018a86c864f40bf">
  <xsd:schema xmlns:xsd="http://www.w3.org/2001/XMLSchema" xmlns:xs="http://www.w3.org/2001/XMLSchema" xmlns:p="http://schemas.microsoft.com/office/2006/metadata/properties" xmlns:ns2="951c5514-b77c-4532-82d5-a05f2f7d58e2" xmlns:ns3="c6f516c4-2602-422c-aa9a-755893ba4f98" targetNamespace="http://schemas.microsoft.com/office/2006/metadata/properties" ma:root="true" ma:fieldsID="aac0e3ca36e3d3717b9bb9c8f21b1ee1" ns2:_="" ns3:_="">
    <xsd:import namespace="951c5514-b77c-4532-82d5-a05f2f7d58e2"/>
    <xsd:import namespace="c6f516c4-2602-422c-aa9a-755893ba4f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0C9F9C-98B5-480F-B2D6-CAE7CFAF013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5DBDC92-538A-485D-89CE-706BC22252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75168F-6331-41DA-B879-8152475B98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Instructions</vt:lpstr>
      <vt:lpstr>Backlog</vt:lpstr>
      <vt:lpstr>Charts</vt:lpstr>
      <vt:lpstr>Sheet1</vt:lpstr>
    </vt:vector>
  </TitlesOfParts>
  <Manager/>
  <Company>NPS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Heasley</dc:creator>
  <cp:keywords/>
  <dc:description/>
  <cp:lastModifiedBy>Arun R S</cp:lastModifiedBy>
  <cp:revision/>
  <dcterms:created xsi:type="dcterms:W3CDTF">2014-04-10T04:38:41Z</dcterms:created>
  <dcterms:modified xsi:type="dcterms:W3CDTF">2021-06-11T10:49:02Z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0x010100D6E01E278A50734B8A721F01C1B19487</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ies>
</file>